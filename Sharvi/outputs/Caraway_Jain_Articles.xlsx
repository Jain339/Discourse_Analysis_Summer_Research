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Summary" sheetId="1" state="visible" r:id="rId1"/>
    <sheet xmlns:r="http://schemas.openxmlformats.org/officeDocument/2006/relationships" name="All Articles" sheetId="2" state="visible" r:id="rId2"/>
    <sheet xmlns:r="http://schemas.openxmlformats.org/officeDocument/2006/relationships" name="2024-01" sheetId="3" state="visible" r:id="rId3"/>
    <sheet xmlns:r="http://schemas.openxmlformats.org/officeDocument/2006/relationships" name="2024-02" sheetId="4" state="visible" r:id="rId4"/>
    <sheet xmlns:r="http://schemas.openxmlformats.org/officeDocument/2006/relationships" name="2024-03" sheetId="5" state="visible" r:id="rId5"/>
    <sheet xmlns:r="http://schemas.openxmlformats.org/officeDocument/2006/relationships" name="2024-06" sheetId="6" state="visible" r:id="rId6"/>
    <sheet xmlns:r="http://schemas.openxmlformats.org/officeDocument/2006/relationships" name="2024-09" sheetId="7" state="visible" r:id="rId7"/>
    <sheet xmlns:r="http://schemas.openxmlformats.org/officeDocument/2006/relationships" name="2024-10" sheetId="8" state="visible" r:id="rId8"/>
    <sheet xmlns:r="http://schemas.openxmlformats.org/officeDocument/2006/relationships" name="2025-03" sheetId="9" state="visible" r:id="rId9"/>
    <sheet xmlns:r="http://schemas.openxmlformats.org/officeDocument/2006/relationships" name="2025-08" sheetId="10" state="visible" r:id="rId10"/>
    <sheet xmlns:r="http://schemas.openxmlformats.org/officeDocument/2006/relationships" name="2026-03" sheetId="11" state="visible" r:id="rId11"/>
    <sheet xmlns:r="http://schemas.openxmlformats.org/officeDocument/2006/relationships" name="2026-04" sheetId="12" state="visible" r:id="rId12"/>
    <sheet xmlns:r="http://schemas.openxmlformats.org/officeDocument/2006/relationships" name="2026-05" sheetId="13" state="visible" r:id="rId13"/>
    <sheet xmlns:r="http://schemas.openxmlformats.org/officeDocument/2006/relationships" name="Source Log" sheetId="14" state="visible" r:id="rId14"/>
    <sheet xmlns:r="http://schemas.openxmlformats.org/officeDocument/2006/relationships" name="Notes" sheetId="15" state="visible" r:id="rId15"/>
  </sheets>
  <definedNames>
    <definedName name="_xlnm._FilterDatabase" localSheetId="1" hidden="1">'All Articles'!$A$1:$R$72</definedName>
    <definedName name="_xlnm._FilterDatabase" localSheetId="2" hidden="1">'2024-01'!$A$1:$R$12</definedName>
    <definedName name="_xlnm._FilterDatabase" localSheetId="3" hidden="1">'2024-02'!$A$1:$R$10</definedName>
    <definedName name="_xlnm._FilterDatabase" localSheetId="4" hidden="1">'2024-03'!$A$1:$R$2</definedName>
    <definedName name="_xlnm._FilterDatabase" localSheetId="5" hidden="1">'2024-06'!$A$1:$R$2</definedName>
    <definedName name="_xlnm._FilterDatabase" localSheetId="6" hidden="1">'2024-09'!$A$1:$R$2</definedName>
    <definedName name="_xlnm._FilterDatabase" localSheetId="7" hidden="1">'2024-10'!$A$1:$R$2</definedName>
    <definedName name="_xlnm._FilterDatabase" localSheetId="8" hidden="1">'2025-03'!$A$1:$R$2</definedName>
    <definedName name="_xlnm._FilterDatabase" localSheetId="9" hidden="1">'2025-08'!$A$1:$R$2</definedName>
    <definedName name="_xlnm._FilterDatabase" localSheetId="10" hidden="1">'2026-03'!$A$1:$R$2</definedName>
    <definedName name="_xlnm._FilterDatabase" localSheetId="11" hidden="1">'2026-04'!$A$1:$R$9</definedName>
    <definedName name="_xlnm._FilterDatabase" localSheetId="12" hidden="1">'2026-05'!$A$1:$R$37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  <xf numFmtId="164" fontId="2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info.gov.hk/gia/general/202401/07/P2024010500085.htm" TargetMode="External" Id="rId1"/><Relationship Type="http://schemas.openxmlformats.org/officeDocument/2006/relationships/hyperlink" Target="https://environment.govt.nz/what-government-is-doing/key-initiatives/" TargetMode="External" Id="rId2"/><Relationship Type="http://schemas.openxmlformats.org/officeDocument/2006/relationships/hyperlink" Target="https://www.info.gov.hk/gia/general/202401/17/P2024011700283.htm" TargetMode="External" Id="rId3"/><Relationship Type="http://schemas.openxmlformats.org/officeDocument/2006/relationships/hyperlink" Target="https://www.info.gov.hk/gia/general/202401/19/P2024011900367.htm" TargetMode="External" Id="rId4"/><Relationship Type="http://schemas.openxmlformats.org/officeDocument/2006/relationships/hyperlink" Target="https://www.info.gov.hk/gia/general/202401/19/P2024011900709.htm" TargetMode="External" Id="rId5"/><Relationship Type="http://schemas.openxmlformats.org/officeDocument/2006/relationships/hyperlink" Target="https://www.info.gov.hk/gia/general/202401/24/P2024012400767.htm" TargetMode="External" Id="rId6"/><Relationship Type="http://schemas.openxmlformats.org/officeDocument/2006/relationships/hyperlink" Target="https://www.info.gov.hk/gia/general/202401/24/P2024012400274.htm" TargetMode="External" Id="rId7"/><Relationship Type="http://schemas.openxmlformats.org/officeDocument/2006/relationships/hyperlink" Target="https://www.info.gov.hk/gia/general/202401/25/P2024012500654.htm" TargetMode="External" Id="rId8"/><Relationship Type="http://schemas.openxmlformats.org/officeDocument/2006/relationships/hyperlink" Target="https://www.info.gov.hk/gia/general/202401/26/P2024012600638.htm" TargetMode="External" Id="rId9"/><Relationship Type="http://schemas.openxmlformats.org/officeDocument/2006/relationships/hyperlink" Target="https://www.info.gov.hk/gia/general/202401/29/P2024012900732.htm" TargetMode="External" Id="rId10"/><Relationship Type="http://schemas.openxmlformats.org/officeDocument/2006/relationships/hyperlink" Target="https://www.info.gov.hk/gia/general/202401/31/P2024013100350.htm" TargetMode="External" Id="rId11"/><Relationship Type="http://schemas.openxmlformats.org/officeDocument/2006/relationships/hyperlink" Target="https://www.info.gov.hk/gia/general/202402/02/P2024020200552.htm" TargetMode="External" Id="rId12"/><Relationship Type="http://schemas.openxmlformats.org/officeDocument/2006/relationships/hyperlink" Target="https://www.info.gov.hk/gia/general/202402/02/P2024020200651.htm" TargetMode="External" Id="rId13"/><Relationship Type="http://schemas.openxmlformats.org/officeDocument/2006/relationships/hyperlink" Target="https://www.info.gov.hk/gia/general/202402/05/P2024020500512.htm" TargetMode="External" Id="rId14"/><Relationship Type="http://schemas.openxmlformats.org/officeDocument/2006/relationships/hyperlink" Target="https://www.info.gov.hk/gia/general/202402/07/P2024020700516.htm" TargetMode="External" Id="rId15"/><Relationship Type="http://schemas.openxmlformats.org/officeDocument/2006/relationships/hyperlink" Target="https://www.info.gov.hk/gia/general/202402/23/P2024022300280.htm" TargetMode="External" Id="rId16"/><Relationship Type="http://schemas.openxmlformats.org/officeDocument/2006/relationships/hyperlink" Target="https://www.info.gov.hk/gia/general/202402/23/P2024022200349.htm" TargetMode="External" Id="rId17"/><Relationship Type="http://schemas.openxmlformats.org/officeDocument/2006/relationships/hyperlink" Target="https://www.info.gov.hk/gia/general/202402/28/P2024022800306.htm" TargetMode="External" Id="rId18"/><Relationship Type="http://schemas.openxmlformats.org/officeDocument/2006/relationships/hyperlink" Target="https://www.info.gov.hk/gia/general/202402/29/P2024022900260.htm" TargetMode="External" Id="rId19"/><Relationship Type="http://schemas.openxmlformats.org/officeDocument/2006/relationships/hyperlink" Target="https://www.info.gov.hk/gia/general/202402/29/P2024022900351.htm" TargetMode="External" Id="rId20"/><Relationship Type="http://schemas.openxmlformats.org/officeDocument/2006/relationships/hyperlink" Target="https://www.info.gov.hk/gia/general/202403/01/P2024030100611.htm" TargetMode="External" Id="rId21"/><Relationship Type="http://schemas.openxmlformats.org/officeDocument/2006/relationships/hyperlink" Target="https://environment.govt.nz/what-you-can-do/climate-scenarios-toolkit/" TargetMode="External" Id="rId22"/><Relationship Type="http://schemas.openxmlformats.org/officeDocument/2006/relationships/hyperlink" Target="https://environment.govt.nz/facts-and-science/climate-change/" TargetMode="External" Id="rId23"/><Relationship Type="http://schemas.openxmlformats.org/officeDocument/2006/relationships/hyperlink" Target="https://environment.govt.nz/facts-and-science/environmental-reporting/" TargetMode="External" Id="rId24"/><Relationship Type="http://schemas.openxmlformats.org/officeDocument/2006/relationships/hyperlink" Target="https://environment.govt.nz/what-you-can-do/take-action-landing-page-te-reo/" TargetMode="External" Id="rId25"/><Relationship Type="http://schemas.openxmlformats.org/officeDocument/2006/relationships/hyperlink" Target="https://environment.govt.nz/what-you-can-do/access-to-experts/" TargetMode="External" Id="rId26"/><Relationship Type="http://schemas.openxmlformats.org/officeDocument/2006/relationships/hyperlink" Target="https://environment.govt.nz/what-you-can-do/calculate-your-emissions/" TargetMode="External" Id="rId27"/><Relationship Type="http://schemas.openxmlformats.org/officeDocument/2006/relationships/hyperlink" Target="https://www.canada.ca/en/environment-climate-change/news/2026/04/canada-to-launch-hybrid-ai-weather-model-to-strengthen-forecasting-for-severe-weather.html" TargetMode="External" Id="rId28"/><Relationship Type="http://schemas.openxmlformats.org/officeDocument/2006/relationships/hyperlink" Target="https://www.canada.ca/en/environment-climate-change/news/2026/04/environment-and-climate-change-canada-to-hold-a-technical-briefing-ahead-of-the-petersberg-climate-dialogue-and-the-g7-environment-ministers-meeting.html" TargetMode="External" Id="rId29"/><Relationship Type="http://schemas.openxmlformats.org/officeDocument/2006/relationships/hyperlink" Target="https://www.canada.ca/en/environment-climate-change/news/2026/04/minister-dabrusin-to-champion-climate-competitiveness-clean-growth-and-nature-protection-at-g7.html" TargetMode="External" Id="rId30"/><Relationship Type="http://schemas.openxmlformats.org/officeDocument/2006/relationships/hyperlink" Target="https://www.canada.ca/en/environment-climate-change/news/2026/04/parliamentary-secretary-myles-to-highlight-canadas-new-nature-strategy-in-fredericton.html" TargetMode="External" Id="rId31"/><Relationship Type="http://schemas.openxmlformats.org/officeDocument/2006/relationships/hyperlink" Target="https://www.canada.ca/en/environment-climate-change/news/2026/04/a-force-of-nature-canadas-strategy-to-protect-nature.html" TargetMode="External" Id="rId32"/><Relationship Type="http://schemas.openxmlformats.org/officeDocument/2006/relationships/hyperlink" Target="https://www.canada.ca/en/environment-climate-change/news/2026/04/a-force-of-nature-canadas-strategy-to-protect-nature0.html" TargetMode="External" Id="rId33"/><Relationship Type="http://schemas.openxmlformats.org/officeDocument/2006/relationships/hyperlink" Target="https://www.canada.ca/en/environment-climate-change/news/2026/04/canada-and-japan-launch-new-actions-to-tackle-methane-plastic-pollution-and-biodiversity-loss.html" TargetMode="External" Id="rId34"/><Relationship Type="http://schemas.openxmlformats.org/officeDocument/2006/relationships/hyperlink" Target="https://www.canada.ca/en/environment-climate-change/news/2026/04/minister-dabrusin-champions-a-resilient-sustainable-future-at-international-environment-talks.html" TargetMode="External" Id="rId35"/><Relationship Type="http://schemas.openxmlformats.org/officeDocument/2006/relationships/hyperlink" Target="https://www.canada.ca/en/environment-climate-change/news/2026/05/secretary-of-state-nature-nathalie-provost-will-highlight-canadas-new-nature-strategy-in-the-estrie-region.html" TargetMode="External" Id="rId36"/><Relationship Type="http://schemas.openxmlformats.org/officeDocument/2006/relationships/hyperlink" Target="https://www.gov.uk/government/publications/wf6-1tp-citron-hygiene-uk-limited-environmental-surrender-issued-eprwe0090abs004" TargetMode="External" Id="rId37"/><Relationship Type="http://schemas.openxmlformats.org/officeDocument/2006/relationships/hyperlink" Target="https://www.canada.ca/en/environment-climate-change/news/2026/05/a-force-of-nature-canadas-strategy-to-protect-nature.html" TargetMode="External" Id="rId38"/><Relationship Type="http://schemas.openxmlformats.org/officeDocument/2006/relationships/hyperlink" Target="https://www.canada.ca/en/environment-climate-change/news/2026/05/minister-dabrusins-statement-on-world-migratory-bird-day.html" TargetMode="External" Id="rId39"/><Relationship Type="http://schemas.openxmlformats.org/officeDocument/2006/relationships/hyperlink" Target="https://www.canada.ca/en/environment-climate-change/news/2026/05/transport-desgagnes-inc-fined-40000-for-canada-wildlife-act-violations-in-nunavut.html" TargetMode="External" Id="rId40"/><Relationship Type="http://schemas.openxmlformats.org/officeDocument/2006/relationships/hyperlink" Target="https://www.canada.ca/en/environment-climate-change/news/2026/05/secretary-of-state-nature-provost-will-highlight-canadas-new-nature-strategy-in-victoria.html" TargetMode="External" Id="rId41"/><Relationship Type="http://schemas.openxmlformats.org/officeDocument/2006/relationships/hyperlink" Target="https://www.canada.ca/en/environment-climate-change/news/2026/05/a-force-of-nature-canadas-strategy-to-protect-nature0.html" TargetMode="External" Id="rId42"/><Relationship Type="http://schemas.openxmlformats.org/officeDocument/2006/relationships/hyperlink" Target="https://www.canada.ca/en/environment-climate-change/news/2026/05/government-of-canada-supports-six-new-research-projects-to-explore-impacts-of-plastic-pollution-on-indigenous-communities.html" TargetMode="External" Id="rId43"/><Relationship Type="http://schemas.openxmlformats.org/officeDocument/2006/relationships/hyperlink" Target="https://www.gov.uk/government/news/environment-agency-puts-brakes-on-illegal-waste-site" TargetMode="External" Id="rId44"/><Relationship Type="http://schemas.openxmlformats.org/officeDocument/2006/relationships/hyperlink" Target="https://www.gov.uk/government/news/environment-agency-board-members-terms-extended" TargetMode="External" Id="rId45"/><Relationship Type="http://schemas.openxmlformats.org/officeDocument/2006/relationships/hyperlink" Target="https://www.canada.ca/en/environment-climate-change/news/2026/05/arcelormittal-exploitation-miniere-canada-senc-fined-100-million-for-violating-the-fisheries-act-through-illegal-deposits-of-deleterious-substances.html" TargetMode="External" Id="rId46"/><Relationship Type="http://schemas.openxmlformats.org/officeDocument/2006/relationships/hyperlink" Target="https://environment.govt.nz/what-you-can-do/assessments-for-carbon-removals/" TargetMode="External" Id="rId47"/><Relationship Type="http://schemas.openxmlformats.org/officeDocument/2006/relationships/hyperlink" Target="https://www.gov.uk/government/news/environment-agency-issues-angus-fire-permit-variation" TargetMode="External" Id="rId48"/><Relationship Type="http://schemas.openxmlformats.org/officeDocument/2006/relationships/hyperlink" Target="https://www.gov.uk/government/news/farmer-fined-after-pollution-kills-a-thousand-fish" TargetMode="External" Id="rId49"/><Relationship Type="http://schemas.openxmlformats.org/officeDocument/2006/relationships/hyperlink" Target="https://www.gov.uk/government/news/new-reforms-to-stop-waste-criminals-from-exploiting-loopholes" TargetMode="External" Id="rId50"/><Relationship Type="http://schemas.openxmlformats.org/officeDocument/2006/relationships/hyperlink" Target="https://www.gov.uk/government/publications/bh23-6bg-eco-sustainable-solutions-limited-environmental-permit-issued-eprgp3793fyv019" TargetMode="External" Id="rId51"/><Relationship Type="http://schemas.openxmlformats.org/officeDocument/2006/relationships/hyperlink" Target="https://www.gov.uk/government/news/have-your-say-on-proposed-change-to-permit-at-hinkley-point-c" TargetMode="External" Id="rId52"/><Relationship Type="http://schemas.openxmlformats.org/officeDocument/2006/relationships/hyperlink" Target="https://www.gov.uk/government/publications/yo43-4eb-mr-richard-towse-and---mrs-helen-towse-environmental-permit-issued-eprzp3432jxv003" TargetMode="External" Id="rId53"/><Relationship Type="http://schemas.openxmlformats.org/officeDocument/2006/relationships/hyperlink" Target="https://www.gov.uk/government/news/third-waste-carrier-convicted-in-environment-agency-operation" TargetMode="External" Id="rId54"/><Relationship Type="http://schemas.openxmlformats.org/officeDocument/2006/relationships/hyperlink" Target="https://www.canada.ca/en/environment-climate-change/news/2026/05/environment-and-climate-change-canada-presents-the-2026-hurricane-season-outlook.html" TargetMode="External" Id="rId55"/><Relationship Type="http://schemas.openxmlformats.org/officeDocument/2006/relationships/hyperlink" Target="https://www.gov.uk/government/news/man-arrested-in-connection-with-illegal-waste-dumping" TargetMode="External" Id="rId56"/><Relationship Type="http://schemas.openxmlformats.org/officeDocument/2006/relationships/hyperlink" Target="https://www.gov.uk/government/publications/n18-3ag-londonenergy-ltd-permit-surrender-issued-epryp3500lss002" TargetMode="External" Id="rId57"/><Relationship Type="http://schemas.openxmlformats.org/officeDocument/2006/relationships/hyperlink" Target="https://www.gov.uk/government/news/science-shows-how-tackling-pollution-now-can-protect-windermeres-future" TargetMode="External" Id="rId58"/><Relationship Type="http://schemas.openxmlformats.org/officeDocument/2006/relationships/hyperlink" Target="https://www.canada.ca/en/environment-climate-change/news/2026/05/government-of-canada-prepares-canadians-for-upcoming-hurricane-season.html" TargetMode="External" Id="rId59"/><Relationship Type="http://schemas.openxmlformats.org/officeDocument/2006/relationships/hyperlink" Target="https://www.gov.uk/government/publications/hu12-8ga-saltend-cogeneration-company-limited-environmental-permit-issued-eprqp3539lev012" TargetMode="External" Id="rId60"/><Relationship Type="http://schemas.openxmlformats.org/officeDocument/2006/relationships/hyperlink" Target="https://www.gov.uk/government/news/repeat-polluter-pays-out-over-slurry-offences" TargetMode="External" Id="rId61"/><Relationship Type="http://schemas.openxmlformats.org/officeDocument/2006/relationships/hyperlink" Target="https://www.gov.uk/government/news/romsey-flood-alleviation-scheme-strengthened-with-new-defences" TargetMode="External" Id="rId62"/><Relationship Type="http://schemas.openxmlformats.org/officeDocument/2006/relationships/hyperlink" Target="https://www.canada.ca/en/environment-climate-change/news/2026/05/international-day-for-biological-diversity-2026-statement-from-the-honourable-julie-dabrusin-minister-of-the-environment-climate-change-and-nature.html" TargetMode="External" Id="rId63"/><Relationship Type="http://schemas.openxmlformats.org/officeDocument/2006/relationships/hyperlink" Target="https://www.gov.uk/government/news/environment-agency-changes-landfill-permit-to-reduce-odour-risk" TargetMode="External" Id="rId64"/><Relationship Type="http://schemas.openxmlformats.org/officeDocument/2006/relationships/hyperlink" Target="https://www.gov.uk/government/news/new-watchlist-published-to-put-a-spotlight-on-waste" TargetMode="External" Id="rId65"/><Relationship Type="http://schemas.openxmlformats.org/officeDocument/2006/relationships/hyperlink" Target="https://www.gov.uk/government/news/lancashire-recycling-company-sentenced-for-illegal-waste-exports" TargetMode="External" Id="rId66"/><Relationship Type="http://schemas.openxmlformats.org/officeDocument/2006/relationships/hyperlink" Target="https://www.canada.ca/en/environment-climate-change/news/2026/05/environment-and-climate-change-canada-launches-ai-weather-model-to-strengthen-forecasting-for-severe-weather.html" TargetMode="External" Id="rId67"/><Relationship Type="http://schemas.openxmlformats.org/officeDocument/2006/relationships/hyperlink" Target="https://www.gov.uk/government/news/consultation-opens-on-drax-power-permit-draft-decision" TargetMode="External" Id="rId68"/><Relationship Type="http://schemas.openxmlformats.org/officeDocument/2006/relationships/hyperlink" Target="https://english.www.gov.cn/news/202605/29/content_WS6a18dbeac6d00ca5f9a0b502.html" TargetMode="External" Id="rId69"/><Relationship Type="http://schemas.openxmlformats.org/officeDocument/2006/relationships/hyperlink" Target="https://english.www.gov.cn/news/202605/31/content_WS6a1b926fc6d00ca5f9a0b580.html" TargetMode="External" Id="rId70"/><Relationship Type="http://schemas.openxmlformats.org/officeDocument/2006/relationships/hyperlink" Target="https://english.www.gov.cn/news/202605/31/content_WS6a1bf75ac6d00ca5f9a0b58c.html" TargetMode="External" Id="rId71"/></Relationships>
</file>

<file path=xl/worksheets/_rels/sheet3.xml.rels><Relationships xmlns="http://schemas.openxmlformats.org/package/2006/relationships"><Relationship Type="http://schemas.openxmlformats.org/officeDocument/2006/relationships/hyperlink" Target="https://www.info.gov.hk/gia/general/202401/07/P2024010500085.htm" TargetMode="External" Id="rId1"/><Relationship Type="http://schemas.openxmlformats.org/officeDocument/2006/relationships/hyperlink" Target="https://environment.govt.nz/what-government-is-doing/key-initiatives/" TargetMode="External" Id="rId2"/><Relationship Type="http://schemas.openxmlformats.org/officeDocument/2006/relationships/hyperlink" Target="https://www.info.gov.hk/gia/general/202401/17/P2024011700283.htm" TargetMode="External" Id="rId3"/><Relationship Type="http://schemas.openxmlformats.org/officeDocument/2006/relationships/hyperlink" Target="https://www.info.gov.hk/gia/general/202401/19/P2024011900367.htm" TargetMode="External" Id="rId4"/><Relationship Type="http://schemas.openxmlformats.org/officeDocument/2006/relationships/hyperlink" Target="https://www.info.gov.hk/gia/general/202401/19/P2024011900709.htm" TargetMode="External" Id="rId5"/><Relationship Type="http://schemas.openxmlformats.org/officeDocument/2006/relationships/hyperlink" Target="https://www.info.gov.hk/gia/general/202401/24/P2024012400767.htm" TargetMode="External" Id="rId6"/><Relationship Type="http://schemas.openxmlformats.org/officeDocument/2006/relationships/hyperlink" Target="https://www.info.gov.hk/gia/general/202401/24/P2024012400274.htm" TargetMode="External" Id="rId7"/><Relationship Type="http://schemas.openxmlformats.org/officeDocument/2006/relationships/hyperlink" Target="https://www.info.gov.hk/gia/general/202401/25/P2024012500654.htm" TargetMode="External" Id="rId8"/><Relationship Type="http://schemas.openxmlformats.org/officeDocument/2006/relationships/hyperlink" Target="https://www.info.gov.hk/gia/general/202401/26/P2024012600638.htm" TargetMode="External" Id="rId9"/><Relationship Type="http://schemas.openxmlformats.org/officeDocument/2006/relationships/hyperlink" Target="https://www.info.gov.hk/gia/general/202401/29/P2024012900732.htm" TargetMode="External" Id="rId10"/><Relationship Type="http://schemas.openxmlformats.org/officeDocument/2006/relationships/hyperlink" Target="https://www.info.gov.hk/gia/general/202401/31/P2024013100350.htm" TargetMode="External" Id="rId11"/></Relationships>
</file>

<file path=xl/worksheets/_rels/sheet4.xml.rels><Relationships xmlns="http://schemas.openxmlformats.org/package/2006/relationships"><Relationship Type="http://schemas.openxmlformats.org/officeDocument/2006/relationships/hyperlink" Target="https://www.info.gov.hk/gia/general/202402/02/P2024020200552.htm" TargetMode="External" Id="rId1"/><Relationship Type="http://schemas.openxmlformats.org/officeDocument/2006/relationships/hyperlink" Target="https://www.info.gov.hk/gia/general/202402/02/P2024020200651.htm" TargetMode="External" Id="rId2"/><Relationship Type="http://schemas.openxmlformats.org/officeDocument/2006/relationships/hyperlink" Target="https://www.info.gov.hk/gia/general/202402/05/P2024020500512.htm" TargetMode="External" Id="rId3"/><Relationship Type="http://schemas.openxmlformats.org/officeDocument/2006/relationships/hyperlink" Target="https://www.info.gov.hk/gia/general/202402/07/P2024020700516.htm" TargetMode="External" Id="rId4"/><Relationship Type="http://schemas.openxmlformats.org/officeDocument/2006/relationships/hyperlink" Target="https://www.info.gov.hk/gia/general/202402/23/P2024022300280.htm" TargetMode="External" Id="rId5"/><Relationship Type="http://schemas.openxmlformats.org/officeDocument/2006/relationships/hyperlink" Target="https://www.info.gov.hk/gia/general/202402/23/P2024022200349.htm" TargetMode="External" Id="rId6"/><Relationship Type="http://schemas.openxmlformats.org/officeDocument/2006/relationships/hyperlink" Target="https://www.info.gov.hk/gia/general/202402/28/P2024022800306.htm" TargetMode="External" Id="rId7"/><Relationship Type="http://schemas.openxmlformats.org/officeDocument/2006/relationships/hyperlink" Target="https://www.info.gov.hk/gia/general/202402/29/P2024022900260.htm" TargetMode="External" Id="rId8"/><Relationship Type="http://schemas.openxmlformats.org/officeDocument/2006/relationships/hyperlink" Target="https://www.info.gov.hk/gia/general/202402/29/P2024022900351.htm" TargetMode="External" Id="rId9"/></Relationships>
</file>

<file path=xl/worksheets/_rels/sheet5.xml.rels><Relationships xmlns="http://schemas.openxmlformats.org/package/2006/relationships"><Relationship Type="http://schemas.openxmlformats.org/officeDocument/2006/relationships/hyperlink" Target="https://www.info.gov.hk/gia/general/202403/01/P2024030100611.htm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environment.govt.nz/what-you-can-do/climate-scenarios-toolkit/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environment.govt.nz/facts-and-science/climate-change/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environment.govt.nz/facts-and-science/environmental-reporting/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environment.govt.nz/what-you-can-do/take-action-landing-page-te-reo/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environment.govt.nz/what-you-can-do/access-to-experts/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environment.govt.nz/what-you-can-do/calculate-your-emissions/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www.canada.ca/en/environment-climate-change/news/2026/04/canada-to-launch-hybrid-ai-weather-model-to-strengthen-forecasting-for-severe-weather.html" TargetMode="External" Id="rId1"/><Relationship Type="http://schemas.openxmlformats.org/officeDocument/2006/relationships/hyperlink" Target="https://www.canada.ca/en/environment-climate-change/news/2026/04/environment-and-climate-change-canada-to-hold-a-technical-briefing-ahead-of-the-petersberg-climate-dialogue-and-the-g7-environment-ministers-meeting.html" TargetMode="External" Id="rId2"/><Relationship Type="http://schemas.openxmlformats.org/officeDocument/2006/relationships/hyperlink" Target="https://www.canada.ca/en/environment-climate-change/news/2026/04/minister-dabrusin-to-champion-climate-competitiveness-clean-growth-and-nature-protection-at-g7.html" TargetMode="External" Id="rId3"/><Relationship Type="http://schemas.openxmlformats.org/officeDocument/2006/relationships/hyperlink" Target="https://www.canada.ca/en/environment-climate-change/news/2026/04/parliamentary-secretary-myles-to-highlight-canadas-new-nature-strategy-in-fredericton.html" TargetMode="External" Id="rId4"/><Relationship Type="http://schemas.openxmlformats.org/officeDocument/2006/relationships/hyperlink" Target="https://www.canada.ca/en/environment-climate-change/news/2026/04/a-force-of-nature-canadas-strategy-to-protect-nature.html" TargetMode="External" Id="rId5"/><Relationship Type="http://schemas.openxmlformats.org/officeDocument/2006/relationships/hyperlink" Target="https://www.canada.ca/en/environment-climate-change/news/2026/04/a-force-of-nature-canadas-strategy-to-protect-nature0.html" TargetMode="External" Id="rId6"/><Relationship Type="http://schemas.openxmlformats.org/officeDocument/2006/relationships/hyperlink" Target="https://www.canada.ca/en/environment-climate-change/news/2026/04/canada-and-japan-launch-new-actions-to-tackle-methane-plastic-pollution-and-biodiversity-loss.html" TargetMode="External" Id="rId7"/><Relationship Type="http://schemas.openxmlformats.org/officeDocument/2006/relationships/hyperlink" Target="https://www.canada.ca/en/environment-climate-change/news/2026/04/minister-dabrusin-champions-a-resilient-sustainable-future-at-international-environment-talks.html" TargetMode="External" Id="rId8"/></Relationships>
</file>

<file path=xl/worksheets/_rels/sheet13.xml.rels><Relationships xmlns="http://schemas.openxmlformats.org/package/2006/relationships"><Relationship Type="http://schemas.openxmlformats.org/officeDocument/2006/relationships/hyperlink" Target="https://www.canada.ca/en/environment-climate-change/news/2026/05/secretary-of-state-nature-nathalie-provost-will-highlight-canadas-new-nature-strategy-in-the-estrie-region.html" TargetMode="External" Id="rId1"/><Relationship Type="http://schemas.openxmlformats.org/officeDocument/2006/relationships/hyperlink" Target="https://www.gov.uk/government/publications/wf6-1tp-citron-hygiene-uk-limited-environmental-surrender-issued-eprwe0090abs004" TargetMode="External" Id="rId2"/><Relationship Type="http://schemas.openxmlformats.org/officeDocument/2006/relationships/hyperlink" Target="https://www.canada.ca/en/environment-climate-change/news/2026/05/a-force-of-nature-canadas-strategy-to-protect-nature.html" TargetMode="External" Id="rId3"/><Relationship Type="http://schemas.openxmlformats.org/officeDocument/2006/relationships/hyperlink" Target="https://www.canada.ca/en/environment-climate-change/news/2026/05/minister-dabrusins-statement-on-world-migratory-bird-day.html" TargetMode="External" Id="rId4"/><Relationship Type="http://schemas.openxmlformats.org/officeDocument/2006/relationships/hyperlink" Target="https://www.canada.ca/en/environment-climate-change/news/2026/05/transport-desgagnes-inc-fined-40000-for-canada-wildlife-act-violations-in-nunavut.html" TargetMode="External" Id="rId5"/><Relationship Type="http://schemas.openxmlformats.org/officeDocument/2006/relationships/hyperlink" Target="https://www.canada.ca/en/environment-climate-change/news/2026/05/secretary-of-state-nature-provost-will-highlight-canadas-new-nature-strategy-in-victoria.html" TargetMode="External" Id="rId6"/><Relationship Type="http://schemas.openxmlformats.org/officeDocument/2006/relationships/hyperlink" Target="https://www.canada.ca/en/environment-climate-change/news/2026/05/a-force-of-nature-canadas-strategy-to-protect-nature0.html" TargetMode="External" Id="rId7"/><Relationship Type="http://schemas.openxmlformats.org/officeDocument/2006/relationships/hyperlink" Target="https://www.canada.ca/en/environment-climate-change/news/2026/05/government-of-canada-supports-six-new-research-projects-to-explore-impacts-of-plastic-pollution-on-indigenous-communities.html" TargetMode="External" Id="rId8"/><Relationship Type="http://schemas.openxmlformats.org/officeDocument/2006/relationships/hyperlink" Target="https://www.gov.uk/government/news/environment-agency-puts-brakes-on-illegal-waste-site" TargetMode="External" Id="rId9"/><Relationship Type="http://schemas.openxmlformats.org/officeDocument/2006/relationships/hyperlink" Target="https://www.gov.uk/government/news/environment-agency-board-members-terms-extended" TargetMode="External" Id="rId10"/><Relationship Type="http://schemas.openxmlformats.org/officeDocument/2006/relationships/hyperlink" Target="https://www.canada.ca/en/environment-climate-change/news/2026/05/arcelormittal-exploitation-miniere-canada-senc-fined-100-million-for-violating-the-fisheries-act-through-illegal-deposits-of-deleterious-substances.html" TargetMode="External" Id="rId11"/><Relationship Type="http://schemas.openxmlformats.org/officeDocument/2006/relationships/hyperlink" Target="https://environment.govt.nz/what-you-can-do/assessments-for-carbon-removals/" TargetMode="External" Id="rId12"/><Relationship Type="http://schemas.openxmlformats.org/officeDocument/2006/relationships/hyperlink" Target="https://www.gov.uk/government/news/environment-agency-issues-angus-fire-permit-variation" TargetMode="External" Id="rId13"/><Relationship Type="http://schemas.openxmlformats.org/officeDocument/2006/relationships/hyperlink" Target="https://www.gov.uk/government/news/farmer-fined-after-pollution-kills-a-thousand-fish" TargetMode="External" Id="rId14"/><Relationship Type="http://schemas.openxmlformats.org/officeDocument/2006/relationships/hyperlink" Target="https://www.gov.uk/government/news/new-reforms-to-stop-waste-criminals-from-exploiting-loopholes" TargetMode="External" Id="rId15"/><Relationship Type="http://schemas.openxmlformats.org/officeDocument/2006/relationships/hyperlink" Target="https://www.gov.uk/government/publications/bh23-6bg-eco-sustainable-solutions-limited-environmental-permit-issued-eprgp3793fyv019" TargetMode="External" Id="rId16"/><Relationship Type="http://schemas.openxmlformats.org/officeDocument/2006/relationships/hyperlink" Target="https://www.gov.uk/government/news/have-your-say-on-proposed-change-to-permit-at-hinkley-point-c" TargetMode="External" Id="rId17"/><Relationship Type="http://schemas.openxmlformats.org/officeDocument/2006/relationships/hyperlink" Target="https://www.gov.uk/government/publications/yo43-4eb-mr-richard-towse-and---mrs-helen-towse-environmental-permit-issued-eprzp3432jxv003" TargetMode="External" Id="rId18"/><Relationship Type="http://schemas.openxmlformats.org/officeDocument/2006/relationships/hyperlink" Target="https://www.gov.uk/government/news/third-waste-carrier-convicted-in-environment-agency-operation" TargetMode="External" Id="rId19"/><Relationship Type="http://schemas.openxmlformats.org/officeDocument/2006/relationships/hyperlink" Target="https://www.canada.ca/en/environment-climate-change/news/2026/05/environment-and-climate-change-canada-presents-the-2026-hurricane-season-outlook.html" TargetMode="External" Id="rId20"/><Relationship Type="http://schemas.openxmlformats.org/officeDocument/2006/relationships/hyperlink" Target="https://www.gov.uk/government/news/man-arrested-in-connection-with-illegal-waste-dumping" TargetMode="External" Id="rId21"/><Relationship Type="http://schemas.openxmlformats.org/officeDocument/2006/relationships/hyperlink" Target="https://www.gov.uk/government/publications/n18-3ag-londonenergy-ltd-permit-surrender-issued-epryp3500lss002" TargetMode="External" Id="rId22"/><Relationship Type="http://schemas.openxmlformats.org/officeDocument/2006/relationships/hyperlink" Target="https://www.gov.uk/government/news/science-shows-how-tackling-pollution-now-can-protect-windermeres-future" TargetMode="External" Id="rId23"/><Relationship Type="http://schemas.openxmlformats.org/officeDocument/2006/relationships/hyperlink" Target="https://www.canada.ca/en/environment-climate-change/news/2026/05/government-of-canada-prepares-canadians-for-upcoming-hurricane-season.html" TargetMode="External" Id="rId24"/><Relationship Type="http://schemas.openxmlformats.org/officeDocument/2006/relationships/hyperlink" Target="https://www.gov.uk/government/publications/hu12-8ga-saltend-cogeneration-company-limited-environmental-permit-issued-eprqp3539lev012" TargetMode="External" Id="rId25"/><Relationship Type="http://schemas.openxmlformats.org/officeDocument/2006/relationships/hyperlink" Target="https://www.gov.uk/government/news/repeat-polluter-pays-out-over-slurry-offences" TargetMode="External" Id="rId26"/><Relationship Type="http://schemas.openxmlformats.org/officeDocument/2006/relationships/hyperlink" Target="https://www.gov.uk/government/news/romsey-flood-alleviation-scheme-strengthened-with-new-defences" TargetMode="External" Id="rId27"/><Relationship Type="http://schemas.openxmlformats.org/officeDocument/2006/relationships/hyperlink" Target="https://www.canada.ca/en/environment-climate-change/news/2026/05/international-day-for-biological-diversity-2026-statement-from-the-honourable-julie-dabrusin-minister-of-the-environment-climate-change-and-nature.html" TargetMode="External" Id="rId28"/><Relationship Type="http://schemas.openxmlformats.org/officeDocument/2006/relationships/hyperlink" Target="https://www.gov.uk/government/news/environment-agency-changes-landfill-permit-to-reduce-odour-risk" TargetMode="External" Id="rId29"/><Relationship Type="http://schemas.openxmlformats.org/officeDocument/2006/relationships/hyperlink" Target="https://www.gov.uk/government/news/new-watchlist-published-to-put-a-spotlight-on-waste" TargetMode="External" Id="rId30"/><Relationship Type="http://schemas.openxmlformats.org/officeDocument/2006/relationships/hyperlink" Target="https://www.gov.uk/government/news/lancashire-recycling-company-sentenced-for-illegal-waste-exports" TargetMode="External" Id="rId31"/><Relationship Type="http://schemas.openxmlformats.org/officeDocument/2006/relationships/hyperlink" Target="https://www.canada.ca/en/environment-climate-change/news/2026/05/environment-and-climate-change-canada-launches-ai-weather-model-to-strengthen-forecasting-for-severe-weather.html" TargetMode="External" Id="rId32"/><Relationship Type="http://schemas.openxmlformats.org/officeDocument/2006/relationships/hyperlink" Target="https://www.gov.uk/government/news/consultation-opens-on-drax-power-permit-draft-decision" TargetMode="External" Id="rId33"/><Relationship Type="http://schemas.openxmlformats.org/officeDocument/2006/relationships/hyperlink" Target="https://english.www.gov.cn/news/202605/29/content_WS6a18dbeac6d00ca5f9a0b502.html" TargetMode="External" Id="rId34"/><Relationship Type="http://schemas.openxmlformats.org/officeDocument/2006/relationships/hyperlink" Target="https://english.www.gov.cn/news/202605/31/content_WS6a1b926fc6d00ca5f9a0b580.html" TargetMode="External" Id="rId35"/><Relationship Type="http://schemas.openxmlformats.org/officeDocument/2006/relationships/hyperlink" Target="https://english.www.gov.cn/news/202605/31/content_WS6a1bf75ac6d00ca5f9a0b58c.html" TargetMode="External" Id="rId3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0" customWidth="1" min="13" max="13"/>
    <col width="14" customWidth="1" min="14" max="14"/>
  </cols>
  <sheetData>
    <row r="1">
      <c r="A1" s="1" t="inlineStr">
        <is>
          <t>Month</t>
        </is>
      </c>
      <c r="B1" s="1" t="inlineStr">
        <is>
          <t>Period</t>
        </is>
      </c>
      <c r="C1" s="1" t="inlineStr">
        <is>
          <t>USA</t>
        </is>
      </c>
      <c r="D1" s="1" t="inlineStr">
        <is>
          <t>Canada</t>
        </is>
      </c>
      <c r="E1" s="1" t="inlineStr">
        <is>
          <t>China</t>
        </is>
      </c>
      <c r="F1" s="1" t="inlineStr">
        <is>
          <t>UK</t>
        </is>
      </c>
      <c r="G1" s="1" t="inlineStr">
        <is>
          <t>EU</t>
        </is>
      </c>
      <c r="H1" s="1" t="inlineStr">
        <is>
          <t>Singapore</t>
        </is>
      </c>
      <c r="I1" s="1" t="inlineStr">
        <is>
          <t>India</t>
        </is>
      </c>
      <c r="J1" s="1" t="inlineStr">
        <is>
          <t>Hong Kong</t>
        </is>
      </c>
      <c r="K1" s="1" t="inlineStr">
        <is>
          <t>New Zealand</t>
        </is>
      </c>
      <c r="L1" s="1" t="inlineStr">
        <is>
          <t>South Korea</t>
        </is>
      </c>
      <c r="M1" s="1" t="inlineStr">
        <is>
          <t>Total</t>
        </is>
      </c>
      <c r="N1" s="1" t="inlineStr">
        <is>
          <t>Strong matches</t>
        </is>
      </c>
    </row>
    <row r="2">
      <c r="A2" s="2" t="inlineStr">
        <is>
          <t>2024-01</t>
        </is>
      </c>
      <c r="B2" s="2" t="inlineStr">
        <is>
          <t>Pre-withdrawal</t>
        </is>
      </c>
      <c r="C2" s="2">
        <f>COUNTIFS('All Articles'!$A:$A,$A2,'All Articles'!$D:$D,C$1)</f>
        <v/>
      </c>
      <c r="D2" s="2">
        <f>COUNTIFS('All Articles'!$A:$A,$A2,'All Articles'!$D:$D,D$1)</f>
        <v/>
      </c>
      <c r="E2" s="2">
        <f>COUNTIFS('All Articles'!$A:$A,$A2,'All Articles'!$D:$D,E$1)</f>
        <v/>
      </c>
      <c r="F2" s="2">
        <f>COUNTIFS('All Articles'!$A:$A,$A2,'All Articles'!$D:$D,F$1)</f>
        <v/>
      </c>
      <c r="G2" s="2">
        <f>COUNTIFS('All Articles'!$A:$A,$A2,'All Articles'!$D:$D,G$1)</f>
        <v/>
      </c>
      <c r="H2" s="2">
        <f>COUNTIFS('All Articles'!$A:$A,$A2,'All Articles'!$D:$D,H$1)</f>
        <v/>
      </c>
      <c r="I2" s="2">
        <f>COUNTIFS('All Articles'!$A:$A,$A2,'All Articles'!$D:$D,I$1)</f>
        <v/>
      </c>
      <c r="J2" s="2">
        <f>COUNTIFS('All Articles'!$A:$A,$A2,'All Articles'!$D:$D,J$1)</f>
        <v/>
      </c>
      <c r="K2" s="2">
        <f>COUNTIFS('All Articles'!$A:$A,$A2,'All Articles'!$D:$D,K$1)</f>
        <v/>
      </c>
      <c r="L2" s="2">
        <f>COUNTIFS('All Articles'!$A:$A,$A2,'All Articles'!$D:$D,L$1)</f>
        <v/>
      </c>
      <c r="M2" s="2">
        <f>SUM(C2:L2)</f>
        <v/>
      </c>
      <c r="N2" s="2">
        <f>COUNTIFS('All Articles'!$A:$A,$A2,'All Articles'!$K:$K,"Yes")</f>
        <v/>
      </c>
    </row>
    <row r="3">
      <c r="A3" s="2" t="inlineStr">
        <is>
          <t>2024-02</t>
        </is>
      </c>
      <c r="B3" s="2" t="inlineStr">
        <is>
          <t>Pre-withdrawal</t>
        </is>
      </c>
      <c r="C3" s="2">
        <f>COUNTIFS('All Articles'!$A:$A,$A3,'All Articles'!$D:$D,C$1)</f>
        <v/>
      </c>
      <c r="D3" s="2">
        <f>COUNTIFS('All Articles'!$A:$A,$A3,'All Articles'!$D:$D,D$1)</f>
        <v/>
      </c>
      <c r="E3" s="2">
        <f>COUNTIFS('All Articles'!$A:$A,$A3,'All Articles'!$D:$D,E$1)</f>
        <v/>
      </c>
      <c r="F3" s="2">
        <f>COUNTIFS('All Articles'!$A:$A,$A3,'All Articles'!$D:$D,F$1)</f>
        <v/>
      </c>
      <c r="G3" s="2">
        <f>COUNTIFS('All Articles'!$A:$A,$A3,'All Articles'!$D:$D,G$1)</f>
        <v/>
      </c>
      <c r="H3" s="2">
        <f>COUNTIFS('All Articles'!$A:$A,$A3,'All Articles'!$D:$D,H$1)</f>
        <v/>
      </c>
      <c r="I3" s="2">
        <f>COUNTIFS('All Articles'!$A:$A,$A3,'All Articles'!$D:$D,I$1)</f>
        <v/>
      </c>
      <c r="J3" s="2">
        <f>COUNTIFS('All Articles'!$A:$A,$A3,'All Articles'!$D:$D,J$1)</f>
        <v/>
      </c>
      <c r="K3" s="2">
        <f>COUNTIFS('All Articles'!$A:$A,$A3,'All Articles'!$D:$D,K$1)</f>
        <v/>
      </c>
      <c r="L3" s="2">
        <f>COUNTIFS('All Articles'!$A:$A,$A3,'All Articles'!$D:$D,L$1)</f>
        <v/>
      </c>
      <c r="M3" s="2">
        <f>SUM(C3:L3)</f>
        <v/>
      </c>
      <c r="N3" s="2">
        <f>COUNTIFS('All Articles'!$A:$A,$A3,'All Articles'!$K:$K,"Yes")</f>
        <v/>
      </c>
    </row>
    <row r="4">
      <c r="A4" s="2" t="inlineStr">
        <is>
          <t>2024-03</t>
        </is>
      </c>
      <c r="B4" s="2" t="inlineStr">
        <is>
          <t>Pre-withdrawal</t>
        </is>
      </c>
      <c r="C4" s="2">
        <f>COUNTIFS('All Articles'!$A:$A,$A4,'All Articles'!$D:$D,C$1)</f>
        <v/>
      </c>
      <c r="D4" s="2">
        <f>COUNTIFS('All Articles'!$A:$A,$A4,'All Articles'!$D:$D,D$1)</f>
        <v/>
      </c>
      <c r="E4" s="2">
        <f>COUNTIFS('All Articles'!$A:$A,$A4,'All Articles'!$D:$D,E$1)</f>
        <v/>
      </c>
      <c r="F4" s="2">
        <f>COUNTIFS('All Articles'!$A:$A,$A4,'All Articles'!$D:$D,F$1)</f>
        <v/>
      </c>
      <c r="G4" s="2">
        <f>COUNTIFS('All Articles'!$A:$A,$A4,'All Articles'!$D:$D,G$1)</f>
        <v/>
      </c>
      <c r="H4" s="2">
        <f>COUNTIFS('All Articles'!$A:$A,$A4,'All Articles'!$D:$D,H$1)</f>
        <v/>
      </c>
      <c r="I4" s="2">
        <f>COUNTIFS('All Articles'!$A:$A,$A4,'All Articles'!$D:$D,I$1)</f>
        <v/>
      </c>
      <c r="J4" s="2">
        <f>COUNTIFS('All Articles'!$A:$A,$A4,'All Articles'!$D:$D,J$1)</f>
        <v/>
      </c>
      <c r="K4" s="2">
        <f>COUNTIFS('All Articles'!$A:$A,$A4,'All Articles'!$D:$D,K$1)</f>
        <v/>
      </c>
      <c r="L4" s="2">
        <f>COUNTIFS('All Articles'!$A:$A,$A4,'All Articles'!$D:$D,L$1)</f>
        <v/>
      </c>
      <c r="M4" s="2">
        <f>SUM(C4:L4)</f>
        <v/>
      </c>
      <c r="N4" s="2">
        <f>COUNTIFS('All Articles'!$A:$A,$A4,'All Articles'!$K:$K,"Yes")</f>
        <v/>
      </c>
    </row>
    <row r="5">
      <c r="A5" s="2" t="inlineStr">
        <is>
          <t>2024-04</t>
        </is>
      </c>
      <c r="B5" s="2" t="inlineStr">
        <is>
          <t>Pre-withdrawal</t>
        </is>
      </c>
      <c r="C5" s="2">
        <f>COUNTIFS('All Articles'!$A:$A,$A5,'All Articles'!$D:$D,C$1)</f>
        <v/>
      </c>
      <c r="D5" s="2">
        <f>COUNTIFS('All Articles'!$A:$A,$A5,'All Articles'!$D:$D,D$1)</f>
        <v/>
      </c>
      <c r="E5" s="2">
        <f>COUNTIFS('All Articles'!$A:$A,$A5,'All Articles'!$D:$D,E$1)</f>
        <v/>
      </c>
      <c r="F5" s="2">
        <f>COUNTIFS('All Articles'!$A:$A,$A5,'All Articles'!$D:$D,F$1)</f>
        <v/>
      </c>
      <c r="G5" s="2">
        <f>COUNTIFS('All Articles'!$A:$A,$A5,'All Articles'!$D:$D,G$1)</f>
        <v/>
      </c>
      <c r="H5" s="2">
        <f>COUNTIFS('All Articles'!$A:$A,$A5,'All Articles'!$D:$D,H$1)</f>
        <v/>
      </c>
      <c r="I5" s="2">
        <f>COUNTIFS('All Articles'!$A:$A,$A5,'All Articles'!$D:$D,I$1)</f>
        <v/>
      </c>
      <c r="J5" s="2">
        <f>COUNTIFS('All Articles'!$A:$A,$A5,'All Articles'!$D:$D,J$1)</f>
        <v/>
      </c>
      <c r="K5" s="2">
        <f>COUNTIFS('All Articles'!$A:$A,$A5,'All Articles'!$D:$D,K$1)</f>
        <v/>
      </c>
      <c r="L5" s="2">
        <f>COUNTIFS('All Articles'!$A:$A,$A5,'All Articles'!$D:$D,L$1)</f>
        <v/>
      </c>
      <c r="M5" s="2">
        <f>SUM(C5:L5)</f>
        <v/>
      </c>
      <c r="N5" s="2">
        <f>COUNTIFS('All Articles'!$A:$A,$A5,'All Articles'!$K:$K,"Yes")</f>
        <v/>
      </c>
    </row>
    <row r="6">
      <c r="A6" s="2" t="inlineStr">
        <is>
          <t>2024-05</t>
        </is>
      </c>
      <c r="B6" s="2" t="inlineStr">
        <is>
          <t>Pre-withdrawal</t>
        </is>
      </c>
      <c r="C6" s="2">
        <f>COUNTIFS('All Articles'!$A:$A,$A6,'All Articles'!$D:$D,C$1)</f>
        <v/>
      </c>
      <c r="D6" s="2">
        <f>COUNTIFS('All Articles'!$A:$A,$A6,'All Articles'!$D:$D,D$1)</f>
        <v/>
      </c>
      <c r="E6" s="2">
        <f>COUNTIFS('All Articles'!$A:$A,$A6,'All Articles'!$D:$D,E$1)</f>
        <v/>
      </c>
      <c r="F6" s="2">
        <f>COUNTIFS('All Articles'!$A:$A,$A6,'All Articles'!$D:$D,F$1)</f>
        <v/>
      </c>
      <c r="G6" s="2">
        <f>COUNTIFS('All Articles'!$A:$A,$A6,'All Articles'!$D:$D,G$1)</f>
        <v/>
      </c>
      <c r="H6" s="2">
        <f>COUNTIFS('All Articles'!$A:$A,$A6,'All Articles'!$D:$D,H$1)</f>
        <v/>
      </c>
      <c r="I6" s="2">
        <f>COUNTIFS('All Articles'!$A:$A,$A6,'All Articles'!$D:$D,I$1)</f>
        <v/>
      </c>
      <c r="J6" s="2">
        <f>COUNTIFS('All Articles'!$A:$A,$A6,'All Articles'!$D:$D,J$1)</f>
        <v/>
      </c>
      <c r="K6" s="2">
        <f>COUNTIFS('All Articles'!$A:$A,$A6,'All Articles'!$D:$D,K$1)</f>
        <v/>
      </c>
      <c r="L6" s="2">
        <f>COUNTIFS('All Articles'!$A:$A,$A6,'All Articles'!$D:$D,L$1)</f>
        <v/>
      </c>
      <c r="M6" s="2">
        <f>SUM(C6:L6)</f>
        <v/>
      </c>
      <c r="N6" s="2">
        <f>COUNTIFS('All Articles'!$A:$A,$A6,'All Articles'!$K:$K,"Yes")</f>
        <v/>
      </c>
    </row>
    <row r="7">
      <c r="A7" s="2" t="inlineStr">
        <is>
          <t>2024-06</t>
        </is>
      </c>
      <c r="B7" s="2" t="inlineStr">
        <is>
          <t>Pre-withdrawal</t>
        </is>
      </c>
      <c r="C7" s="2">
        <f>COUNTIFS('All Articles'!$A:$A,$A7,'All Articles'!$D:$D,C$1)</f>
        <v/>
      </c>
      <c r="D7" s="2">
        <f>COUNTIFS('All Articles'!$A:$A,$A7,'All Articles'!$D:$D,D$1)</f>
        <v/>
      </c>
      <c r="E7" s="2">
        <f>COUNTIFS('All Articles'!$A:$A,$A7,'All Articles'!$D:$D,E$1)</f>
        <v/>
      </c>
      <c r="F7" s="2">
        <f>COUNTIFS('All Articles'!$A:$A,$A7,'All Articles'!$D:$D,F$1)</f>
        <v/>
      </c>
      <c r="G7" s="2">
        <f>COUNTIFS('All Articles'!$A:$A,$A7,'All Articles'!$D:$D,G$1)</f>
        <v/>
      </c>
      <c r="H7" s="2">
        <f>COUNTIFS('All Articles'!$A:$A,$A7,'All Articles'!$D:$D,H$1)</f>
        <v/>
      </c>
      <c r="I7" s="2">
        <f>COUNTIFS('All Articles'!$A:$A,$A7,'All Articles'!$D:$D,I$1)</f>
        <v/>
      </c>
      <c r="J7" s="2">
        <f>COUNTIFS('All Articles'!$A:$A,$A7,'All Articles'!$D:$D,J$1)</f>
        <v/>
      </c>
      <c r="K7" s="2">
        <f>COUNTIFS('All Articles'!$A:$A,$A7,'All Articles'!$D:$D,K$1)</f>
        <v/>
      </c>
      <c r="L7" s="2">
        <f>COUNTIFS('All Articles'!$A:$A,$A7,'All Articles'!$D:$D,L$1)</f>
        <v/>
      </c>
      <c r="M7" s="2">
        <f>SUM(C7:L7)</f>
        <v/>
      </c>
      <c r="N7" s="2">
        <f>COUNTIFS('All Articles'!$A:$A,$A7,'All Articles'!$K:$K,"Yes")</f>
        <v/>
      </c>
    </row>
    <row r="8">
      <c r="A8" s="2" t="inlineStr">
        <is>
          <t>2024-07</t>
        </is>
      </c>
      <c r="B8" s="2" t="inlineStr">
        <is>
          <t>Pre-withdrawal</t>
        </is>
      </c>
      <c r="C8" s="2">
        <f>COUNTIFS('All Articles'!$A:$A,$A8,'All Articles'!$D:$D,C$1)</f>
        <v/>
      </c>
      <c r="D8" s="2">
        <f>COUNTIFS('All Articles'!$A:$A,$A8,'All Articles'!$D:$D,D$1)</f>
        <v/>
      </c>
      <c r="E8" s="2">
        <f>COUNTIFS('All Articles'!$A:$A,$A8,'All Articles'!$D:$D,E$1)</f>
        <v/>
      </c>
      <c r="F8" s="2">
        <f>COUNTIFS('All Articles'!$A:$A,$A8,'All Articles'!$D:$D,F$1)</f>
        <v/>
      </c>
      <c r="G8" s="2">
        <f>COUNTIFS('All Articles'!$A:$A,$A8,'All Articles'!$D:$D,G$1)</f>
        <v/>
      </c>
      <c r="H8" s="2">
        <f>COUNTIFS('All Articles'!$A:$A,$A8,'All Articles'!$D:$D,H$1)</f>
        <v/>
      </c>
      <c r="I8" s="2">
        <f>COUNTIFS('All Articles'!$A:$A,$A8,'All Articles'!$D:$D,I$1)</f>
        <v/>
      </c>
      <c r="J8" s="2">
        <f>COUNTIFS('All Articles'!$A:$A,$A8,'All Articles'!$D:$D,J$1)</f>
        <v/>
      </c>
      <c r="K8" s="2">
        <f>COUNTIFS('All Articles'!$A:$A,$A8,'All Articles'!$D:$D,K$1)</f>
        <v/>
      </c>
      <c r="L8" s="2">
        <f>COUNTIFS('All Articles'!$A:$A,$A8,'All Articles'!$D:$D,L$1)</f>
        <v/>
      </c>
      <c r="M8" s="2">
        <f>SUM(C8:L8)</f>
        <v/>
      </c>
      <c r="N8" s="2">
        <f>COUNTIFS('All Articles'!$A:$A,$A8,'All Articles'!$K:$K,"Yes")</f>
        <v/>
      </c>
    </row>
    <row r="9">
      <c r="A9" s="2" t="inlineStr">
        <is>
          <t>2024-08</t>
        </is>
      </c>
      <c r="B9" s="2" t="inlineStr">
        <is>
          <t>Pre-withdrawal</t>
        </is>
      </c>
      <c r="C9" s="2">
        <f>COUNTIFS('All Articles'!$A:$A,$A9,'All Articles'!$D:$D,C$1)</f>
        <v/>
      </c>
      <c r="D9" s="2">
        <f>COUNTIFS('All Articles'!$A:$A,$A9,'All Articles'!$D:$D,D$1)</f>
        <v/>
      </c>
      <c r="E9" s="2">
        <f>COUNTIFS('All Articles'!$A:$A,$A9,'All Articles'!$D:$D,E$1)</f>
        <v/>
      </c>
      <c r="F9" s="2">
        <f>COUNTIFS('All Articles'!$A:$A,$A9,'All Articles'!$D:$D,F$1)</f>
        <v/>
      </c>
      <c r="G9" s="2">
        <f>COUNTIFS('All Articles'!$A:$A,$A9,'All Articles'!$D:$D,G$1)</f>
        <v/>
      </c>
      <c r="H9" s="2">
        <f>COUNTIFS('All Articles'!$A:$A,$A9,'All Articles'!$D:$D,H$1)</f>
        <v/>
      </c>
      <c r="I9" s="2">
        <f>COUNTIFS('All Articles'!$A:$A,$A9,'All Articles'!$D:$D,I$1)</f>
        <v/>
      </c>
      <c r="J9" s="2">
        <f>COUNTIFS('All Articles'!$A:$A,$A9,'All Articles'!$D:$D,J$1)</f>
        <v/>
      </c>
      <c r="K9" s="2">
        <f>COUNTIFS('All Articles'!$A:$A,$A9,'All Articles'!$D:$D,K$1)</f>
        <v/>
      </c>
      <c r="L9" s="2">
        <f>COUNTIFS('All Articles'!$A:$A,$A9,'All Articles'!$D:$D,L$1)</f>
        <v/>
      </c>
      <c r="M9" s="2">
        <f>SUM(C9:L9)</f>
        <v/>
      </c>
      <c r="N9" s="2">
        <f>COUNTIFS('All Articles'!$A:$A,$A9,'All Articles'!$K:$K,"Yes")</f>
        <v/>
      </c>
    </row>
    <row r="10">
      <c r="A10" s="2" t="inlineStr">
        <is>
          <t>2024-09</t>
        </is>
      </c>
      <c r="B10" s="2" t="inlineStr">
        <is>
          <t>Pre-withdrawal</t>
        </is>
      </c>
      <c r="C10" s="2">
        <f>COUNTIFS('All Articles'!$A:$A,$A10,'All Articles'!$D:$D,C$1)</f>
        <v/>
      </c>
      <c r="D10" s="2">
        <f>COUNTIFS('All Articles'!$A:$A,$A10,'All Articles'!$D:$D,D$1)</f>
        <v/>
      </c>
      <c r="E10" s="2">
        <f>COUNTIFS('All Articles'!$A:$A,$A10,'All Articles'!$D:$D,E$1)</f>
        <v/>
      </c>
      <c r="F10" s="2">
        <f>COUNTIFS('All Articles'!$A:$A,$A10,'All Articles'!$D:$D,F$1)</f>
        <v/>
      </c>
      <c r="G10" s="2">
        <f>COUNTIFS('All Articles'!$A:$A,$A10,'All Articles'!$D:$D,G$1)</f>
        <v/>
      </c>
      <c r="H10" s="2">
        <f>COUNTIFS('All Articles'!$A:$A,$A10,'All Articles'!$D:$D,H$1)</f>
        <v/>
      </c>
      <c r="I10" s="2">
        <f>COUNTIFS('All Articles'!$A:$A,$A10,'All Articles'!$D:$D,I$1)</f>
        <v/>
      </c>
      <c r="J10" s="2">
        <f>COUNTIFS('All Articles'!$A:$A,$A10,'All Articles'!$D:$D,J$1)</f>
        <v/>
      </c>
      <c r="K10" s="2">
        <f>COUNTIFS('All Articles'!$A:$A,$A10,'All Articles'!$D:$D,K$1)</f>
        <v/>
      </c>
      <c r="L10" s="2">
        <f>COUNTIFS('All Articles'!$A:$A,$A10,'All Articles'!$D:$D,L$1)</f>
        <v/>
      </c>
      <c r="M10" s="2">
        <f>SUM(C10:L10)</f>
        <v/>
      </c>
      <c r="N10" s="2">
        <f>COUNTIFS('All Articles'!$A:$A,$A10,'All Articles'!$K:$K,"Yes")</f>
        <v/>
      </c>
    </row>
    <row r="11">
      <c r="A11" s="2" t="inlineStr">
        <is>
          <t>2024-10</t>
        </is>
      </c>
      <c r="B11" s="2" t="inlineStr">
        <is>
          <t>Pre-withdrawal</t>
        </is>
      </c>
      <c r="C11" s="2">
        <f>COUNTIFS('All Articles'!$A:$A,$A11,'All Articles'!$D:$D,C$1)</f>
        <v/>
      </c>
      <c r="D11" s="2">
        <f>COUNTIFS('All Articles'!$A:$A,$A11,'All Articles'!$D:$D,D$1)</f>
        <v/>
      </c>
      <c r="E11" s="2">
        <f>COUNTIFS('All Articles'!$A:$A,$A11,'All Articles'!$D:$D,E$1)</f>
        <v/>
      </c>
      <c r="F11" s="2">
        <f>COUNTIFS('All Articles'!$A:$A,$A11,'All Articles'!$D:$D,F$1)</f>
        <v/>
      </c>
      <c r="G11" s="2">
        <f>COUNTIFS('All Articles'!$A:$A,$A11,'All Articles'!$D:$D,G$1)</f>
        <v/>
      </c>
      <c r="H11" s="2">
        <f>COUNTIFS('All Articles'!$A:$A,$A11,'All Articles'!$D:$D,H$1)</f>
        <v/>
      </c>
      <c r="I11" s="2">
        <f>COUNTIFS('All Articles'!$A:$A,$A11,'All Articles'!$D:$D,I$1)</f>
        <v/>
      </c>
      <c r="J11" s="2">
        <f>COUNTIFS('All Articles'!$A:$A,$A11,'All Articles'!$D:$D,J$1)</f>
        <v/>
      </c>
      <c r="K11" s="2">
        <f>COUNTIFS('All Articles'!$A:$A,$A11,'All Articles'!$D:$D,K$1)</f>
        <v/>
      </c>
      <c r="L11" s="2">
        <f>COUNTIFS('All Articles'!$A:$A,$A11,'All Articles'!$D:$D,L$1)</f>
        <v/>
      </c>
      <c r="M11" s="2">
        <f>SUM(C11:L11)</f>
        <v/>
      </c>
      <c r="N11" s="2">
        <f>COUNTIFS('All Articles'!$A:$A,$A11,'All Articles'!$K:$K,"Yes")</f>
        <v/>
      </c>
    </row>
    <row r="12">
      <c r="A12" s="2" t="inlineStr">
        <is>
          <t>2024-11</t>
        </is>
      </c>
      <c r="B12" s="2" t="inlineStr">
        <is>
          <t>Pre-withdrawal</t>
        </is>
      </c>
      <c r="C12" s="2">
        <f>COUNTIFS('All Articles'!$A:$A,$A12,'All Articles'!$D:$D,C$1)</f>
        <v/>
      </c>
      <c r="D12" s="2">
        <f>COUNTIFS('All Articles'!$A:$A,$A12,'All Articles'!$D:$D,D$1)</f>
        <v/>
      </c>
      <c r="E12" s="2">
        <f>COUNTIFS('All Articles'!$A:$A,$A12,'All Articles'!$D:$D,E$1)</f>
        <v/>
      </c>
      <c r="F12" s="2">
        <f>COUNTIFS('All Articles'!$A:$A,$A12,'All Articles'!$D:$D,F$1)</f>
        <v/>
      </c>
      <c r="G12" s="2">
        <f>COUNTIFS('All Articles'!$A:$A,$A12,'All Articles'!$D:$D,G$1)</f>
        <v/>
      </c>
      <c r="H12" s="2">
        <f>COUNTIFS('All Articles'!$A:$A,$A12,'All Articles'!$D:$D,H$1)</f>
        <v/>
      </c>
      <c r="I12" s="2">
        <f>COUNTIFS('All Articles'!$A:$A,$A12,'All Articles'!$D:$D,I$1)</f>
        <v/>
      </c>
      <c r="J12" s="2">
        <f>COUNTIFS('All Articles'!$A:$A,$A12,'All Articles'!$D:$D,J$1)</f>
        <v/>
      </c>
      <c r="K12" s="2">
        <f>COUNTIFS('All Articles'!$A:$A,$A12,'All Articles'!$D:$D,K$1)</f>
        <v/>
      </c>
      <c r="L12" s="2">
        <f>COUNTIFS('All Articles'!$A:$A,$A12,'All Articles'!$D:$D,L$1)</f>
        <v/>
      </c>
      <c r="M12" s="2">
        <f>SUM(C12:L12)</f>
        <v/>
      </c>
      <c r="N12" s="2">
        <f>COUNTIFS('All Articles'!$A:$A,$A12,'All Articles'!$K:$K,"Yes")</f>
        <v/>
      </c>
    </row>
    <row r="13">
      <c r="A13" s="2" t="inlineStr">
        <is>
          <t>2024-12</t>
        </is>
      </c>
      <c r="B13" s="2" t="inlineStr">
        <is>
          <t>Pre-withdrawal</t>
        </is>
      </c>
      <c r="C13" s="2">
        <f>COUNTIFS('All Articles'!$A:$A,$A13,'All Articles'!$D:$D,C$1)</f>
        <v/>
      </c>
      <c r="D13" s="2">
        <f>COUNTIFS('All Articles'!$A:$A,$A13,'All Articles'!$D:$D,D$1)</f>
        <v/>
      </c>
      <c r="E13" s="2">
        <f>COUNTIFS('All Articles'!$A:$A,$A13,'All Articles'!$D:$D,E$1)</f>
        <v/>
      </c>
      <c r="F13" s="2">
        <f>COUNTIFS('All Articles'!$A:$A,$A13,'All Articles'!$D:$D,F$1)</f>
        <v/>
      </c>
      <c r="G13" s="2">
        <f>COUNTIFS('All Articles'!$A:$A,$A13,'All Articles'!$D:$D,G$1)</f>
        <v/>
      </c>
      <c r="H13" s="2">
        <f>COUNTIFS('All Articles'!$A:$A,$A13,'All Articles'!$D:$D,H$1)</f>
        <v/>
      </c>
      <c r="I13" s="2">
        <f>COUNTIFS('All Articles'!$A:$A,$A13,'All Articles'!$D:$D,I$1)</f>
        <v/>
      </c>
      <c r="J13" s="2">
        <f>COUNTIFS('All Articles'!$A:$A,$A13,'All Articles'!$D:$D,J$1)</f>
        <v/>
      </c>
      <c r="K13" s="2">
        <f>COUNTIFS('All Articles'!$A:$A,$A13,'All Articles'!$D:$D,K$1)</f>
        <v/>
      </c>
      <c r="L13" s="2">
        <f>COUNTIFS('All Articles'!$A:$A,$A13,'All Articles'!$D:$D,L$1)</f>
        <v/>
      </c>
      <c r="M13" s="2">
        <f>SUM(C13:L13)</f>
        <v/>
      </c>
      <c r="N13" s="2">
        <f>COUNTIFS('All Articles'!$A:$A,$A13,'All Articles'!$K:$K,"Yes")</f>
        <v/>
      </c>
    </row>
    <row r="14">
      <c r="A14" s="2" t="inlineStr">
        <is>
          <t>2025-01</t>
        </is>
      </c>
      <c r="B14" s="2" t="inlineStr">
        <is>
          <t>Transition</t>
        </is>
      </c>
      <c r="C14" s="2">
        <f>COUNTIFS('All Articles'!$A:$A,$A14,'All Articles'!$D:$D,C$1)</f>
        <v/>
      </c>
      <c r="D14" s="2">
        <f>COUNTIFS('All Articles'!$A:$A,$A14,'All Articles'!$D:$D,D$1)</f>
        <v/>
      </c>
      <c r="E14" s="2">
        <f>COUNTIFS('All Articles'!$A:$A,$A14,'All Articles'!$D:$D,E$1)</f>
        <v/>
      </c>
      <c r="F14" s="2">
        <f>COUNTIFS('All Articles'!$A:$A,$A14,'All Articles'!$D:$D,F$1)</f>
        <v/>
      </c>
      <c r="G14" s="2">
        <f>COUNTIFS('All Articles'!$A:$A,$A14,'All Articles'!$D:$D,G$1)</f>
        <v/>
      </c>
      <c r="H14" s="2">
        <f>COUNTIFS('All Articles'!$A:$A,$A14,'All Articles'!$D:$D,H$1)</f>
        <v/>
      </c>
      <c r="I14" s="2">
        <f>COUNTIFS('All Articles'!$A:$A,$A14,'All Articles'!$D:$D,I$1)</f>
        <v/>
      </c>
      <c r="J14" s="2">
        <f>COUNTIFS('All Articles'!$A:$A,$A14,'All Articles'!$D:$D,J$1)</f>
        <v/>
      </c>
      <c r="K14" s="2">
        <f>COUNTIFS('All Articles'!$A:$A,$A14,'All Articles'!$D:$D,K$1)</f>
        <v/>
      </c>
      <c r="L14" s="2">
        <f>COUNTIFS('All Articles'!$A:$A,$A14,'All Articles'!$D:$D,L$1)</f>
        <v/>
      </c>
      <c r="M14" s="2">
        <f>SUM(C14:L14)</f>
        <v/>
      </c>
      <c r="N14" s="2">
        <f>COUNTIFS('All Articles'!$A:$A,$A14,'All Articles'!$K:$K,"Yes")</f>
        <v/>
      </c>
    </row>
    <row r="15">
      <c r="A15" s="2" t="inlineStr">
        <is>
          <t>2025-02</t>
        </is>
      </c>
      <c r="B15" s="2" t="inlineStr">
        <is>
          <t>Transition</t>
        </is>
      </c>
      <c r="C15" s="2">
        <f>COUNTIFS('All Articles'!$A:$A,$A15,'All Articles'!$D:$D,C$1)</f>
        <v/>
      </c>
      <c r="D15" s="2">
        <f>COUNTIFS('All Articles'!$A:$A,$A15,'All Articles'!$D:$D,D$1)</f>
        <v/>
      </c>
      <c r="E15" s="2">
        <f>COUNTIFS('All Articles'!$A:$A,$A15,'All Articles'!$D:$D,E$1)</f>
        <v/>
      </c>
      <c r="F15" s="2">
        <f>COUNTIFS('All Articles'!$A:$A,$A15,'All Articles'!$D:$D,F$1)</f>
        <v/>
      </c>
      <c r="G15" s="2">
        <f>COUNTIFS('All Articles'!$A:$A,$A15,'All Articles'!$D:$D,G$1)</f>
        <v/>
      </c>
      <c r="H15" s="2">
        <f>COUNTIFS('All Articles'!$A:$A,$A15,'All Articles'!$D:$D,H$1)</f>
        <v/>
      </c>
      <c r="I15" s="2">
        <f>COUNTIFS('All Articles'!$A:$A,$A15,'All Articles'!$D:$D,I$1)</f>
        <v/>
      </c>
      <c r="J15" s="2">
        <f>COUNTIFS('All Articles'!$A:$A,$A15,'All Articles'!$D:$D,J$1)</f>
        <v/>
      </c>
      <c r="K15" s="2">
        <f>COUNTIFS('All Articles'!$A:$A,$A15,'All Articles'!$D:$D,K$1)</f>
        <v/>
      </c>
      <c r="L15" s="2">
        <f>COUNTIFS('All Articles'!$A:$A,$A15,'All Articles'!$D:$D,L$1)</f>
        <v/>
      </c>
      <c r="M15" s="2">
        <f>SUM(C15:L15)</f>
        <v/>
      </c>
      <c r="N15" s="2">
        <f>COUNTIFS('All Articles'!$A:$A,$A15,'All Articles'!$K:$K,"Yes")</f>
        <v/>
      </c>
    </row>
    <row r="16">
      <c r="A16" s="2" t="inlineStr">
        <is>
          <t>2025-03</t>
        </is>
      </c>
      <c r="B16" s="2" t="inlineStr">
        <is>
          <t>Transition</t>
        </is>
      </c>
      <c r="C16" s="2">
        <f>COUNTIFS('All Articles'!$A:$A,$A16,'All Articles'!$D:$D,C$1)</f>
        <v/>
      </c>
      <c r="D16" s="2">
        <f>COUNTIFS('All Articles'!$A:$A,$A16,'All Articles'!$D:$D,D$1)</f>
        <v/>
      </c>
      <c r="E16" s="2">
        <f>COUNTIFS('All Articles'!$A:$A,$A16,'All Articles'!$D:$D,E$1)</f>
        <v/>
      </c>
      <c r="F16" s="2">
        <f>COUNTIFS('All Articles'!$A:$A,$A16,'All Articles'!$D:$D,F$1)</f>
        <v/>
      </c>
      <c r="G16" s="2">
        <f>COUNTIFS('All Articles'!$A:$A,$A16,'All Articles'!$D:$D,G$1)</f>
        <v/>
      </c>
      <c r="H16" s="2">
        <f>COUNTIFS('All Articles'!$A:$A,$A16,'All Articles'!$D:$D,H$1)</f>
        <v/>
      </c>
      <c r="I16" s="2">
        <f>COUNTIFS('All Articles'!$A:$A,$A16,'All Articles'!$D:$D,I$1)</f>
        <v/>
      </c>
      <c r="J16" s="2">
        <f>COUNTIFS('All Articles'!$A:$A,$A16,'All Articles'!$D:$D,J$1)</f>
        <v/>
      </c>
      <c r="K16" s="2">
        <f>COUNTIFS('All Articles'!$A:$A,$A16,'All Articles'!$D:$D,K$1)</f>
        <v/>
      </c>
      <c r="L16" s="2">
        <f>COUNTIFS('All Articles'!$A:$A,$A16,'All Articles'!$D:$D,L$1)</f>
        <v/>
      </c>
      <c r="M16" s="2">
        <f>SUM(C16:L16)</f>
        <v/>
      </c>
      <c r="N16" s="2">
        <f>COUNTIFS('All Articles'!$A:$A,$A16,'All Articles'!$K:$K,"Yes")</f>
        <v/>
      </c>
    </row>
    <row r="17">
      <c r="A17" s="2" t="inlineStr">
        <is>
          <t>2025-04</t>
        </is>
      </c>
      <c r="B17" s="2" t="inlineStr">
        <is>
          <t>Transition</t>
        </is>
      </c>
      <c r="C17" s="2">
        <f>COUNTIFS('All Articles'!$A:$A,$A17,'All Articles'!$D:$D,C$1)</f>
        <v/>
      </c>
      <c r="D17" s="2">
        <f>COUNTIFS('All Articles'!$A:$A,$A17,'All Articles'!$D:$D,D$1)</f>
        <v/>
      </c>
      <c r="E17" s="2">
        <f>COUNTIFS('All Articles'!$A:$A,$A17,'All Articles'!$D:$D,E$1)</f>
        <v/>
      </c>
      <c r="F17" s="2">
        <f>COUNTIFS('All Articles'!$A:$A,$A17,'All Articles'!$D:$D,F$1)</f>
        <v/>
      </c>
      <c r="G17" s="2">
        <f>COUNTIFS('All Articles'!$A:$A,$A17,'All Articles'!$D:$D,G$1)</f>
        <v/>
      </c>
      <c r="H17" s="2">
        <f>COUNTIFS('All Articles'!$A:$A,$A17,'All Articles'!$D:$D,H$1)</f>
        <v/>
      </c>
      <c r="I17" s="2">
        <f>COUNTIFS('All Articles'!$A:$A,$A17,'All Articles'!$D:$D,I$1)</f>
        <v/>
      </c>
      <c r="J17" s="2">
        <f>COUNTIFS('All Articles'!$A:$A,$A17,'All Articles'!$D:$D,J$1)</f>
        <v/>
      </c>
      <c r="K17" s="2">
        <f>COUNTIFS('All Articles'!$A:$A,$A17,'All Articles'!$D:$D,K$1)</f>
        <v/>
      </c>
      <c r="L17" s="2">
        <f>COUNTIFS('All Articles'!$A:$A,$A17,'All Articles'!$D:$D,L$1)</f>
        <v/>
      </c>
      <c r="M17" s="2">
        <f>SUM(C17:L17)</f>
        <v/>
      </c>
      <c r="N17" s="2">
        <f>COUNTIFS('All Articles'!$A:$A,$A17,'All Articles'!$K:$K,"Yes")</f>
        <v/>
      </c>
    </row>
    <row r="18">
      <c r="A18" s="2" t="inlineStr">
        <is>
          <t>2025-05</t>
        </is>
      </c>
      <c r="B18" s="2" t="inlineStr">
        <is>
          <t>Transition</t>
        </is>
      </c>
      <c r="C18" s="2">
        <f>COUNTIFS('All Articles'!$A:$A,$A18,'All Articles'!$D:$D,C$1)</f>
        <v/>
      </c>
      <c r="D18" s="2">
        <f>COUNTIFS('All Articles'!$A:$A,$A18,'All Articles'!$D:$D,D$1)</f>
        <v/>
      </c>
      <c r="E18" s="2">
        <f>COUNTIFS('All Articles'!$A:$A,$A18,'All Articles'!$D:$D,E$1)</f>
        <v/>
      </c>
      <c r="F18" s="2">
        <f>COUNTIFS('All Articles'!$A:$A,$A18,'All Articles'!$D:$D,F$1)</f>
        <v/>
      </c>
      <c r="G18" s="2">
        <f>COUNTIFS('All Articles'!$A:$A,$A18,'All Articles'!$D:$D,G$1)</f>
        <v/>
      </c>
      <c r="H18" s="2">
        <f>COUNTIFS('All Articles'!$A:$A,$A18,'All Articles'!$D:$D,H$1)</f>
        <v/>
      </c>
      <c r="I18" s="2">
        <f>COUNTIFS('All Articles'!$A:$A,$A18,'All Articles'!$D:$D,I$1)</f>
        <v/>
      </c>
      <c r="J18" s="2">
        <f>COUNTIFS('All Articles'!$A:$A,$A18,'All Articles'!$D:$D,J$1)</f>
        <v/>
      </c>
      <c r="K18" s="2">
        <f>COUNTIFS('All Articles'!$A:$A,$A18,'All Articles'!$D:$D,K$1)</f>
        <v/>
      </c>
      <c r="L18" s="2">
        <f>COUNTIFS('All Articles'!$A:$A,$A18,'All Articles'!$D:$D,L$1)</f>
        <v/>
      </c>
      <c r="M18" s="2">
        <f>SUM(C18:L18)</f>
        <v/>
      </c>
      <c r="N18" s="2">
        <f>COUNTIFS('All Articles'!$A:$A,$A18,'All Articles'!$K:$K,"Yes")</f>
        <v/>
      </c>
    </row>
    <row r="19">
      <c r="A19" s="2" t="inlineStr">
        <is>
          <t>2025-06</t>
        </is>
      </c>
      <c r="B19" s="2" t="inlineStr">
        <is>
          <t>Transition</t>
        </is>
      </c>
      <c r="C19" s="2">
        <f>COUNTIFS('All Articles'!$A:$A,$A19,'All Articles'!$D:$D,C$1)</f>
        <v/>
      </c>
      <c r="D19" s="2">
        <f>COUNTIFS('All Articles'!$A:$A,$A19,'All Articles'!$D:$D,D$1)</f>
        <v/>
      </c>
      <c r="E19" s="2">
        <f>COUNTIFS('All Articles'!$A:$A,$A19,'All Articles'!$D:$D,E$1)</f>
        <v/>
      </c>
      <c r="F19" s="2">
        <f>COUNTIFS('All Articles'!$A:$A,$A19,'All Articles'!$D:$D,F$1)</f>
        <v/>
      </c>
      <c r="G19" s="2">
        <f>COUNTIFS('All Articles'!$A:$A,$A19,'All Articles'!$D:$D,G$1)</f>
        <v/>
      </c>
      <c r="H19" s="2">
        <f>COUNTIFS('All Articles'!$A:$A,$A19,'All Articles'!$D:$D,H$1)</f>
        <v/>
      </c>
      <c r="I19" s="2">
        <f>COUNTIFS('All Articles'!$A:$A,$A19,'All Articles'!$D:$D,I$1)</f>
        <v/>
      </c>
      <c r="J19" s="2">
        <f>COUNTIFS('All Articles'!$A:$A,$A19,'All Articles'!$D:$D,J$1)</f>
        <v/>
      </c>
      <c r="K19" s="2">
        <f>COUNTIFS('All Articles'!$A:$A,$A19,'All Articles'!$D:$D,K$1)</f>
        <v/>
      </c>
      <c r="L19" s="2">
        <f>COUNTIFS('All Articles'!$A:$A,$A19,'All Articles'!$D:$D,L$1)</f>
        <v/>
      </c>
      <c r="M19" s="2">
        <f>SUM(C19:L19)</f>
        <v/>
      </c>
      <c r="N19" s="2">
        <f>COUNTIFS('All Articles'!$A:$A,$A19,'All Articles'!$K:$K,"Yes")</f>
        <v/>
      </c>
    </row>
    <row r="20">
      <c r="A20" s="2" t="inlineStr">
        <is>
          <t>2025-07</t>
        </is>
      </c>
      <c r="B20" s="2" t="inlineStr">
        <is>
          <t>Transition</t>
        </is>
      </c>
      <c r="C20" s="2">
        <f>COUNTIFS('All Articles'!$A:$A,$A20,'All Articles'!$D:$D,C$1)</f>
        <v/>
      </c>
      <c r="D20" s="2">
        <f>COUNTIFS('All Articles'!$A:$A,$A20,'All Articles'!$D:$D,D$1)</f>
        <v/>
      </c>
      <c r="E20" s="2">
        <f>COUNTIFS('All Articles'!$A:$A,$A20,'All Articles'!$D:$D,E$1)</f>
        <v/>
      </c>
      <c r="F20" s="2">
        <f>COUNTIFS('All Articles'!$A:$A,$A20,'All Articles'!$D:$D,F$1)</f>
        <v/>
      </c>
      <c r="G20" s="2">
        <f>COUNTIFS('All Articles'!$A:$A,$A20,'All Articles'!$D:$D,G$1)</f>
        <v/>
      </c>
      <c r="H20" s="2">
        <f>COUNTIFS('All Articles'!$A:$A,$A20,'All Articles'!$D:$D,H$1)</f>
        <v/>
      </c>
      <c r="I20" s="2">
        <f>COUNTIFS('All Articles'!$A:$A,$A20,'All Articles'!$D:$D,I$1)</f>
        <v/>
      </c>
      <c r="J20" s="2">
        <f>COUNTIFS('All Articles'!$A:$A,$A20,'All Articles'!$D:$D,J$1)</f>
        <v/>
      </c>
      <c r="K20" s="2">
        <f>COUNTIFS('All Articles'!$A:$A,$A20,'All Articles'!$D:$D,K$1)</f>
        <v/>
      </c>
      <c r="L20" s="2">
        <f>COUNTIFS('All Articles'!$A:$A,$A20,'All Articles'!$D:$D,L$1)</f>
        <v/>
      </c>
      <c r="M20" s="2">
        <f>SUM(C20:L20)</f>
        <v/>
      </c>
      <c r="N20" s="2">
        <f>COUNTIFS('All Articles'!$A:$A,$A20,'All Articles'!$K:$K,"Yes")</f>
        <v/>
      </c>
    </row>
    <row r="21">
      <c r="A21" s="2" t="inlineStr">
        <is>
          <t>2025-08</t>
        </is>
      </c>
      <c r="B21" s="2" t="inlineStr">
        <is>
          <t>Transition</t>
        </is>
      </c>
      <c r="C21" s="2">
        <f>COUNTIFS('All Articles'!$A:$A,$A21,'All Articles'!$D:$D,C$1)</f>
        <v/>
      </c>
      <c r="D21" s="2">
        <f>COUNTIFS('All Articles'!$A:$A,$A21,'All Articles'!$D:$D,D$1)</f>
        <v/>
      </c>
      <c r="E21" s="2">
        <f>COUNTIFS('All Articles'!$A:$A,$A21,'All Articles'!$D:$D,E$1)</f>
        <v/>
      </c>
      <c r="F21" s="2">
        <f>COUNTIFS('All Articles'!$A:$A,$A21,'All Articles'!$D:$D,F$1)</f>
        <v/>
      </c>
      <c r="G21" s="2">
        <f>COUNTIFS('All Articles'!$A:$A,$A21,'All Articles'!$D:$D,G$1)</f>
        <v/>
      </c>
      <c r="H21" s="2">
        <f>COUNTIFS('All Articles'!$A:$A,$A21,'All Articles'!$D:$D,H$1)</f>
        <v/>
      </c>
      <c r="I21" s="2">
        <f>COUNTIFS('All Articles'!$A:$A,$A21,'All Articles'!$D:$D,I$1)</f>
        <v/>
      </c>
      <c r="J21" s="2">
        <f>COUNTIFS('All Articles'!$A:$A,$A21,'All Articles'!$D:$D,J$1)</f>
        <v/>
      </c>
      <c r="K21" s="2">
        <f>COUNTIFS('All Articles'!$A:$A,$A21,'All Articles'!$D:$D,K$1)</f>
        <v/>
      </c>
      <c r="L21" s="2">
        <f>COUNTIFS('All Articles'!$A:$A,$A21,'All Articles'!$D:$D,L$1)</f>
        <v/>
      </c>
      <c r="M21" s="2">
        <f>SUM(C21:L21)</f>
        <v/>
      </c>
      <c r="N21" s="2">
        <f>COUNTIFS('All Articles'!$A:$A,$A21,'All Articles'!$K:$K,"Yes")</f>
        <v/>
      </c>
    </row>
    <row r="22">
      <c r="A22" s="2" t="inlineStr">
        <is>
          <t>2025-09</t>
        </is>
      </c>
      <c r="B22" s="2" t="inlineStr">
        <is>
          <t>Transition</t>
        </is>
      </c>
      <c r="C22" s="2">
        <f>COUNTIFS('All Articles'!$A:$A,$A22,'All Articles'!$D:$D,C$1)</f>
        <v/>
      </c>
      <c r="D22" s="2">
        <f>COUNTIFS('All Articles'!$A:$A,$A22,'All Articles'!$D:$D,D$1)</f>
        <v/>
      </c>
      <c r="E22" s="2">
        <f>COUNTIFS('All Articles'!$A:$A,$A22,'All Articles'!$D:$D,E$1)</f>
        <v/>
      </c>
      <c r="F22" s="2">
        <f>COUNTIFS('All Articles'!$A:$A,$A22,'All Articles'!$D:$D,F$1)</f>
        <v/>
      </c>
      <c r="G22" s="2">
        <f>COUNTIFS('All Articles'!$A:$A,$A22,'All Articles'!$D:$D,G$1)</f>
        <v/>
      </c>
      <c r="H22" s="2">
        <f>COUNTIFS('All Articles'!$A:$A,$A22,'All Articles'!$D:$D,H$1)</f>
        <v/>
      </c>
      <c r="I22" s="2">
        <f>COUNTIFS('All Articles'!$A:$A,$A22,'All Articles'!$D:$D,I$1)</f>
        <v/>
      </c>
      <c r="J22" s="2">
        <f>COUNTIFS('All Articles'!$A:$A,$A22,'All Articles'!$D:$D,J$1)</f>
        <v/>
      </c>
      <c r="K22" s="2">
        <f>COUNTIFS('All Articles'!$A:$A,$A22,'All Articles'!$D:$D,K$1)</f>
        <v/>
      </c>
      <c r="L22" s="2">
        <f>COUNTIFS('All Articles'!$A:$A,$A22,'All Articles'!$D:$D,L$1)</f>
        <v/>
      </c>
      <c r="M22" s="2">
        <f>SUM(C22:L22)</f>
        <v/>
      </c>
      <c r="N22" s="2">
        <f>COUNTIFS('All Articles'!$A:$A,$A22,'All Articles'!$K:$K,"Yes")</f>
        <v/>
      </c>
    </row>
    <row r="23">
      <c r="A23" s="2" t="inlineStr">
        <is>
          <t>2025-10</t>
        </is>
      </c>
      <c r="B23" s="2" t="inlineStr">
        <is>
          <t>Transition</t>
        </is>
      </c>
      <c r="C23" s="2">
        <f>COUNTIFS('All Articles'!$A:$A,$A23,'All Articles'!$D:$D,C$1)</f>
        <v/>
      </c>
      <c r="D23" s="2">
        <f>COUNTIFS('All Articles'!$A:$A,$A23,'All Articles'!$D:$D,D$1)</f>
        <v/>
      </c>
      <c r="E23" s="2">
        <f>COUNTIFS('All Articles'!$A:$A,$A23,'All Articles'!$D:$D,E$1)</f>
        <v/>
      </c>
      <c r="F23" s="2">
        <f>COUNTIFS('All Articles'!$A:$A,$A23,'All Articles'!$D:$D,F$1)</f>
        <v/>
      </c>
      <c r="G23" s="2">
        <f>COUNTIFS('All Articles'!$A:$A,$A23,'All Articles'!$D:$D,G$1)</f>
        <v/>
      </c>
      <c r="H23" s="2">
        <f>COUNTIFS('All Articles'!$A:$A,$A23,'All Articles'!$D:$D,H$1)</f>
        <v/>
      </c>
      <c r="I23" s="2">
        <f>COUNTIFS('All Articles'!$A:$A,$A23,'All Articles'!$D:$D,I$1)</f>
        <v/>
      </c>
      <c r="J23" s="2">
        <f>COUNTIFS('All Articles'!$A:$A,$A23,'All Articles'!$D:$D,J$1)</f>
        <v/>
      </c>
      <c r="K23" s="2">
        <f>COUNTIFS('All Articles'!$A:$A,$A23,'All Articles'!$D:$D,K$1)</f>
        <v/>
      </c>
      <c r="L23" s="2">
        <f>COUNTIFS('All Articles'!$A:$A,$A23,'All Articles'!$D:$D,L$1)</f>
        <v/>
      </c>
      <c r="M23" s="2">
        <f>SUM(C23:L23)</f>
        <v/>
      </c>
      <c r="N23" s="2">
        <f>COUNTIFS('All Articles'!$A:$A,$A23,'All Articles'!$K:$K,"Yes")</f>
        <v/>
      </c>
    </row>
    <row r="24">
      <c r="A24" s="2" t="inlineStr">
        <is>
          <t>2025-11</t>
        </is>
      </c>
      <c r="B24" s="2" t="inlineStr">
        <is>
          <t>Transition</t>
        </is>
      </c>
      <c r="C24" s="2">
        <f>COUNTIFS('All Articles'!$A:$A,$A24,'All Articles'!$D:$D,C$1)</f>
        <v/>
      </c>
      <c r="D24" s="2">
        <f>COUNTIFS('All Articles'!$A:$A,$A24,'All Articles'!$D:$D,D$1)</f>
        <v/>
      </c>
      <c r="E24" s="2">
        <f>COUNTIFS('All Articles'!$A:$A,$A24,'All Articles'!$D:$D,E$1)</f>
        <v/>
      </c>
      <c r="F24" s="2">
        <f>COUNTIFS('All Articles'!$A:$A,$A24,'All Articles'!$D:$D,F$1)</f>
        <v/>
      </c>
      <c r="G24" s="2">
        <f>COUNTIFS('All Articles'!$A:$A,$A24,'All Articles'!$D:$D,G$1)</f>
        <v/>
      </c>
      <c r="H24" s="2">
        <f>COUNTIFS('All Articles'!$A:$A,$A24,'All Articles'!$D:$D,H$1)</f>
        <v/>
      </c>
      <c r="I24" s="2">
        <f>COUNTIFS('All Articles'!$A:$A,$A24,'All Articles'!$D:$D,I$1)</f>
        <v/>
      </c>
      <c r="J24" s="2">
        <f>COUNTIFS('All Articles'!$A:$A,$A24,'All Articles'!$D:$D,J$1)</f>
        <v/>
      </c>
      <c r="K24" s="2">
        <f>COUNTIFS('All Articles'!$A:$A,$A24,'All Articles'!$D:$D,K$1)</f>
        <v/>
      </c>
      <c r="L24" s="2">
        <f>COUNTIFS('All Articles'!$A:$A,$A24,'All Articles'!$D:$D,L$1)</f>
        <v/>
      </c>
      <c r="M24" s="2">
        <f>SUM(C24:L24)</f>
        <v/>
      </c>
      <c r="N24" s="2">
        <f>COUNTIFS('All Articles'!$A:$A,$A24,'All Articles'!$K:$K,"Yes")</f>
        <v/>
      </c>
    </row>
    <row r="25">
      <c r="A25" s="2" t="inlineStr">
        <is>
          <t>2025-12</t>
        </is>
      </c>
      <c r="B25" s="2" t="inlineStr">
        <is>
          <t>Transition</t>
        </is>
      </c>
      <c r="C25" s="2">
        <f>COUNTIFS('All Articles'!$A:$A,$A25,'All Articles'!$D:$D,C$1)</f>
        <v/>
      </c>
      <c r="D25" s="2">
        <f>COUNTIFS('All Articles'!$A:$A,$A25,'All Articles'!$D:$D,D$1)</f>
        <v/>
      </c>
      <c r="E25" s="2">
        <f>COUNTIFS('All Articles'!$A:$A,$A25,'All Articles'!$D:$D,E$1)</f>
        <v/>
      </c>
      <c r="F25" s="2">
        <f>COUNTIFS('All Articles'!$A:$A,$A25,'All Articles'!$D:$D,F$1)</f>
        <v/>
      </c>
      <c r="G25" s="2">
        <f>COUNTIFS('All Articles'!$A:$A,$A25,'All Articles'!$D:$D,G$1)</f>
        <v/>
      </c>
      <c r="H25" s="2">
        <f>COUNTIFS('All Articles'!$A:$A,$A25,'All Articles'!$D:$D,H$1)</f>
        <v/>
      </c>
      <c r="I25" s="2">
        <f>COUNTIFS('All Articles'!$A:$A,$A25,'All Articles'!$D:$D,I$1)</f>
        <v/>
      </c>
      <c r="J25" s="2">
        <f>COUNTIFS('All Articles'!$A:$A,$A25,'All Articles'!$D:$D,J$1)</f>
        <v/>
      </c>
      <c r="K25" s="2">
        <f>COUNTIFS('All Articles'!$A:$A,$A25,'All Articles'!$D:$D,K$1)</f>
        <v/>
      </c>
      <c r="L25" s="2">
        <f>COUNTIFS('All Articles'!$A:$A,$A25,'All Articles'!$D:$D,L$1)</f>
        <v/>
      </c>
      <c r="M25" s="2">
        <f>SUM(C25:L25)</f>
        <v/>
      </c>
      <c r="N25" s="2">
        <f>COUNTIFS('All Articles'!$A:$A,$A25,'All Articles'!$K:$K,"Yes")</f>
        <v/>
      </c>
    </row>
    <row r="26">
      <c r="A26" s="2" t="inlineStr">
        <is>
          <t>2026-01</t>
        </is>
      </c>
      <c r="B26" s="2" t="inlineStr">
        <is>
          <t>Post-withdrawal</t>
        </is>
      </c>
      <c r="C26" s="2">
        <f>COUNTIFS('All Articles'!$A:$A,$A26,'All Articles'!$D:$D,C$1)</f>
        <v/>
      </c>
      <c r="D26" s="2">
        <f>COUNTIFS('All Articles'!$A:$A,$A26,'All Articles'!$D:$D,D$1)</f>
        <v/>
      </c>
      <c r="E26" s="2">
        <f>COUNTIFS('All Articles'!$A:$A,$A26,'All Articles'!$D:$D,E$1)</f>
        <v/>
      </c>
      <c r="F26" s="2">
        <f>COUNTIFS('All Articles'!$A:$A,$A26,'All Articles'!$D:$D,F$1)</f>
        <v/>
      </c>
      <c r="G26" s="2">
        <f>COUNTIFS('All Articles'!$A:$A,$A26,'All Articles'!$D:$D,G$1)</f>
        <v/>
      </c>
      <c r="H26" s="2">
        <f>COUNTIFS('All Articles'!$A:$A,$A26,'All Articles'!$D:$D,H$1)</f>
        <v/>
      </c>
      <c r="I26" s="2">
        <f>COUNTIFS('All Articles'!$A:$A,$A26,'All Articles'!$D:$D,I$1)</f>
        <v/>
      </c>
      <c r="J26" s="2">
        <f>COUNTIFS('All Articles'!$A:$A,$A26,'All Articles'!$D:$D,J$1)</f>
        <v/>
      </c>
      <c r="K26" s="2">
        <f>COUNTIFS('All Articles'!$A:$A,$A26,'All Articles'!$D:$D,K$1)</f>
        <v/>
      </c>
      <c r="L26" s="2">
        <f>COUNTIFS('All Articles'!$A:$A,$A26,'All Articles'!$D:$D,L$1)</f>
        <v/>
      </c>
      <c r="M26" s="2">
        <f>SUM(C26:L26)</f>
        <v/>
      </c>
      <c r="N26" s="2">
        <f>COUNTIFS('All Articles'!$A:$A,$A26,'All Articles'!$K:$K,"Yes")</f>
        <v/>
      </c>
    </row>
    <row r="27">
      <c r="A27" s="2" t="inlineStr">
        <is>
          <t>2026-02</t>
        </is>
      </c>
      <c r="B27" s="2" t="inlineStr">
        <is>
          <t>Post-withdrawal</t>
        </is>
      </c>
      <c r="C27" s="2">
        <f>COUNTIFS('All Articles'!$A:$A,$A27,'All Articles'!$D:$D,C$1)</f>
        <v/>
      </c>
      <c r="D27" s="2">
        <f>COUNTIFS('All Articles'!$A:$A,$A27,'All Articles'!$D:$D,D$1)</f>
        <v/>
      </c>
      <c r="E27" s="2">
        <f>COUNTIFS('All Articles'!$A:$A,$A27,'All Articles'!$D:$D,E$1)</f>
        <v/>
      </c>
      <c r="F27" s="2">
        <f>COUNTIFS('All Articles'!$A:$A,$A27,'All Articles'!$D:$D,F$1)</f>
        <v/>
      </c>
      <c r="G27" s="2">
        <f>COUNTIFS('All Articles'!$A:$A,$A27,'All Articles'!$D:$D,G$1)</f>
        <v/>
      </c>
      <c r="H27" s="2">
        <f>COUNTIFS('All Articles'!$A:$A,$A27,'All Articles'!$D:$D,H$1)</f>
        <v/>
      </c>
      <c r="I27" s="2">
        <f>COUNTIFS('All Articles'!$A:$A,$A27,'All Articles'!$D:$D,I$1)</f>
        <v/>
      </c>
      <c r="J27" s="2">
        <f>COUNTIFS('All Articles'!$A:$A,$A27,'All Articles'!$D:$D,J$1)</f>
        <v/>
      </c>
      <c r="K27" s="2">
        <f>COUNTIFS('All Articles'!$A:$A,$A27,'All Articles'!$D:$D,K$1)</f>
        <v/>
      </c>
      <c r="L27" s="2">
        <f>COUNTIFS('All Articles'!$A:$A,$A27,'All Articles'!$D:$D,L$1)</f>
        <v/>
      </c>
      <c r="M27" s="2">
        <f>SUM(C27:L27)</f>
        <v/>
      </c>
      <c r="N27" s="2">
        <f>COUNTIFS('All Articles'!$A:$A,$A27,'All Articles'!$K:$K,"Yes")</f>
        <v/>
      </c>
    </row>
    <row r="28">
      <c r="A28" s="2" t="inlineStr">
        <is>
          <t>2026-03</t>
        </is>
      </c>
      <c r="B28" s="2" t="inlineStr">
        <is>
          <t>Post-withdrawal</t>
        </is>
      </c>
      <c r="C28" s="2">
        <f>COUNTIFS('All Articles'!$A:$A,$A28,'All Articles'!$D:$D,C$1)</f>
        <v/>
      </c>
      <c r="D28" s="2">
        <f>COUNTIFS('All Articles'!$A:$A,$A28,'All Articles'!$D:$D,D$1)</f>
        <v/>
      </c>
      <c r="E28" s="2">
        <f>COUNTIFS('All Articles'!$A:$A,$A28,'All Articles'!$D:$D,E$1)</f>
        <v/>
      </c>
      <c r="F28" s="2">
        <f>COUNTIFS('All Articles'!$A:$A,$A28,'All Articles'!$D:$D,F$1)</f>
        <v/>
      </c>
      <c r="G28" s="2">
        <f>COUNTIFS('All Articles'!$A:$A,$A28,'All Articles'!$D:$D,G$1)</f>
        <v/>
      </c>
      <c r="H28" s="2">
        <f>COUNTIFS('All Articles'!$A:$A,$A28,'All Articles'!$D:$D,H$1)</f>
        <v/>
      </c>
      <c r="I28" s="2">
        <f>COUNTIFS('All Articles'!$A:$A,$A28,'All Articles'!$D:$D,I$1)</f>
        <v/>
      </c>
      <c r="J28" s="2">
        <f>COUNTIFS('All Articles'!$A:$A,$A28,'All Articles'!$D:$D,J$1)</f>
        <v/>
      </c>
      <c r="K28" s="2">
        <f>COUNTIFS('All Articles'!$A:$A,$A28,'All Articles'!$D:$D,K$1)</f>
        <v/>
      </c>
      <c r="L28" s="2">
        <f>COUNTIFS('All Articles'!$A:$A,$A28,'All Articles'!$D:$D,L$1)</f>
        <v/>
      </c>
      <c r="M28" s="2">
        <f>SUM(C28:L28)</f>
        <v/>
      </c>
      <c r="N28" s="2">
        <f>COUNTIFS('All Articles'!$A:$A,$A28,'All Articles'!$K:$K,"Yes")</f>
        <v/>
      </c>
    </row>
    <row r="29">
      <c r="A29" s="2" t="inlineStr">
        <is>
          <t>2026-04</t>
        </is>
      </c>
      <c r="B29" s="2" t="inlineStr">
        <is>
          <t>Post-withdrawal</t>
        </is>
      </c>
      <c r="C29" s="2">
        <f>COUNTIFS('All Articles'!$A:$A,$A29,'All Articles'!$D:$D,C$1)</f>
        <v/>
      </c>
      <c r="D29" s="2">
        <f>COUNTIFS('All Articles'!$A:$A,$A29,'All Articles'!$D:$D,D$1)</f>
        <v/>
      </c>
      <c r="E29" s="2">
        <f>COUNTIFS('All Articles'!$A:$A,$A29,'All Articles'!$D:$D,E$1)</f>
        <v/>
      </c>
      <c r="F29" s="2">
        <f>COUNTIFS('All Articles'!$A:$A,$A29,'All Articles'!$D:$D,F$1)</f>
        <v/>
      </c>
      <c r="G29" s="2">
        <f>COUNTIFS('All Articles'!$A:$A,$A29,'All Articles'!$D:$D,G$1)</f>
        <v/>
      </c>
      <c r="H29" s="2">
        <f>COUNTIFS('All Articles'!$A:$A,$A29,'All Articles'!$D:$D,H$1)</f>
        <v/>
      </c>
      <c r="I29" s="2">
        <f>COUNTIFS('All Articles'!$A:$A,$A29,'All Articles'!$D:$D,I$1)</f>
        <v/>
      </c>
      <c r="J29" s="2">
        <f>COUNTIFS('All Articles'!$A:$A,$A29,'All Articles'!$D:$D,J$1)</f>
        <v/>
      </c>
      <c r="K29" s="2">
        <f>COUNTIFS('All Articles'!$A:$A,$A29,'All Articles'!$D:$D,K$1)</f>
        <v/>
      </c>
      <c r="L29" s="2">
        <f>COUNTIFS('All Articles'!$A:$A,$A29,'All Articles'!$D:$D,L$1)</f>
        <v/>
      </c>
      <c r="M29" s="2">
        <f>SUM(C29:L29)</f>
        <v/>
      </c>
      <c r="N29" s="2">
        <f>COUNTIFS('All Articles'!$A:$A,$A29,'All Articles'!$K:$K,"Yes")</f>
        <v/>
      </c>
    </row>
    <row r="30">
      <c r="A30" s="2" t="inlineStr">
        <is>
          <t>2026-05</t>
        </is>
      </c>
      <c r="B30" s="2" t="inlineStr">
        <is>
          <t>Post-withdrawal</t>
        </is>
      </c>
      <c r="C30" s="2">
        <f>COUNTIFS('All Articles'!$A:$A,$A30,'All Articles'!$D:$D,C$1)</f>
        <v/>
      </c>
      <c r="D30" s="2">
        <f>COUNTIFS('All Articles'!$A:$A,$A30,'All Articles'!$D:$D,D$1)</f>
        <v/>
      </c>
      <c r="E30" s="2">
        <f>COUNTIFS('All Articles'!$A:$A,$A30,'All Articles'!$D:$D,E$1)</f>
        <v/>
      </c>
      <c r="F30" s="2">
        <f>COUNTIFS('All Articles'!$A:$A,$A30,'All Articles'!$D:$D,F$1)</f>
        <v/>
      </c>
      <c r="G30" s="2">
        <f>COUNTIFS('All Articles'!$A:$A,$A30,'All Articles'!$D:$D,G$1)</f>
        <v/>
      </c>
      <c r="H30" s="2">
        <f>COUNTIFS('All Articles'!$A:$A,$A30,'All Articles'!$D:$D,H$1)</f>
        <v/>
      </c>
      <c r="I30" s="2">
        <f>COUNTIFS('All Articles'!$A:$A,$A30,'All Articles'!$D:$D,I$1)</f>
        <v/>
      </c>
      <c r="J30" s="2">
        <f>COUNTIFS('All Articles'!$A:$A,$A30,'All Articles'!$D:$D,J$1)</f>
        <v/>
      </c>
      <c r="K30" s="2">
        <f>COUNTIFS('All Articles'!$A:$A,$A30,'All Articles'!$D:$D,K$1)</f>
        <v/>
      </c>
      <c r="L30" s="2">
        <f>COUNTIFS('All Articles'!$A:$A,$A30,'All Articles'!$D:$D,L$1)</f>
        <v/>
      </c>
      <c r="M30" s="2">
        <f>SUM(C30:L30)</f>
        <v/>
      </c>
      <c r="N30" s="2">
        <f>COUNTIFS('All Articles'!$A:$A,$A30,'All Articles'!$K:$K,"Yes")</f>
        <v/>
      </c>
    </row>
    <row r="31">
      <c r="A31" s="3" t="inlineStr">
        <is>
          <t>Total</t>
        </is>
      </c>
      <c r="B31" s="3" t="inlineStr"/>
      <c r="C31" s="3">
        <f>SUM(C2:C30)</f>
        <v/>
      </c>
      <c r="D31" s="3">
        <f>SUM(D2:D30)</f>
        <v/>
      </c>
      <c r="E31" s="3">
        <f>SUM(E2:E30)</f>
        <v/>
      </c>
      <c r="F31" s="3">
        <f>SUM(F2:F30)</f>
        <v/>
      </c>
      <c r="G31" s="3">
        <f>SUM(G2:G30)</f>
        <v/>
      </c>
      <c r="H31" s="3">
        <f>SUM(H2:H30)</f>
        <v/>
      </c>
      <c r="I31" s="3">
        <f>SUM(I2:I30)</f>
        <v/>
      </c>
      <c r="J31" s="3">
        <f>SUM(J2:J30)</f>
        <v/>
      </c>
      <c r="K31" s="3">
        <f>SUM(K2:K30)</f>
        <v/>
      </c>
      <c r="L31" s="3">
        <f>SUM(L2:L30)</f>
        <v/>
      </c>
      <c r="M31" s="3">
        <f>SUM(M2:M30)</f>
        <v/>
      </c>
      <c r="N31" s="3">
        <f>SUM(N2:N30)</f>
        <v/>
      </c>
    </row>
    <row r="33">
      <c r="A33" s="2" t="inlineStr">
        <is>
          <t>Undated articles</t>
        </is>
      </c>
      <c r="B33" s="2" t="inlineStr"/>
      <c r="C33" s="2">
        <f>COUNTIFS('All Articles'!$A:$A,"Undated")</f>
        <v/>
      </c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5">
      <c r="A35" s="3" t="inlineStr">
        <is>
          <t>Period</t>
        </is>
      </c>
      <c r="B35" s="3" t="inlineStr"/>
      <c r="C35" s="3" t="inlineStr">
        <is>
          <t>USA</t>
        </is>
      </c>
      <c r="D35" s="3" t="inlineStr">
        <is>
          <t>Canada</t>
        </is>
      </c>
      <c r="E35" s="3" t="inlineStr">
        <is>
          <t>China</t>
        </is>
      </c>
      <c r="F35" s="3" t="inlineStr">
        <is>
          <t>UK</t>
        </is>
      </c>
      <c r="G35" s="3" t="inlineStr">
        <is>
          <t>EU</t>
        </is>
      </c>
      <c r="H35" s="3" t="inlineStr">
        <is>
          <t>Singapore</t>
        </is>
      </c>
      <c r="I35" s="3" t="inlineStr">
        <is>
          <t>India</t>
        </is>
      </c>
      <c r="J35" s="3" t="inlineStr">
        <is>
          <t>Hong Kong</t>
        </is>
      </c>
      <c r="K35" s="3" t="inlineStr">
        <is>
          <t>New Zealand</t>
        </is>
      </c>
      <c r="L35" s="3" t="inlineStr">
        <is>
          <t>South Korea</t>
        </is>
      </c>
      <c r="M35" s="3" t="inlineStr">
        <is>
          <t>Total</t>
        </is>
      </c>
      <c r="N35" s="3" t="n"/>
    </row>
    <row r="36">
      <c r="A36" s="2" t="inlineStr">
        <is>
          <t>Pre-withdrawal</t>
        </is>
      </c>
      <c r="B36" s="2" t="inlineStr"/>
      <c r="C36" s="2">
        <f>COUNTIFS('All Articles'!$C:$C,$A36,'All Articles'!$D:$D,C$35)</f>
        <v/>
      </c>
      <c r="D36" s="2">
        <f>COUNTIFS('All Articles'!$C:$C,$A36,'All Articles'!$D:$D,D$35)</f>
        <v/>
      </c>
      <c r="E36" s="2">
        <f>COUNTIFS('All Articles'!$C:$C,$A36,'All Articles'!$D:$D,E$35)</f>
        <v/>
      </c>
      <c r="F36" s="2">
        <f>COUNTIFS('All Articles'!$C:$C,$A36,'All Articles'!$D:$D,F$35)</f>
        <v/>
      </c>
      <c r="G36" s="2">
        <f>COUNTIFS('All Articles'!$C:$C,$A36,'All Articles'!$D:$D,G$35)</f>
        <v/>
      </c>
      <c r="H36" s="2">
        <f>COUNTIFS('All Articles'!$C:$C,$A36,'All Articles'!$D:$D,H$35)</f>
        <v/>
      </c>
      <c r="I36" s="2">
        <f>COUNTIFS('All Articles'!$C:$C,$A36,'All Articles'!$D:$D,I$35)</f>
        <v/>
      </c>
      <c r="J36" s="2">
        <f>COUNTIFS('All Articles'!$C:$C,$A36,'All Articles'!$D:$D,J$35)</f>
        <v/>
      </c>
      <c r="K36" s="2">
        <f>COUNTIFS('All Articles'!$C:$C,$A36,'All Articles'!$D:$D,K$35)</f>
        <v/>
      </c>
      <c r="L36" s="2">
        <f>COUNTIFS('All Articles'!$C:$C,$A36,'All Articles'!$D:$D,L$35)</f>
        <v/>
      </c>
      <c r="M36" s="2">
        <f>SUM(C36:L36)</f>
        <v/>
      </c>
      <c r="N36" s="2" t="n"/>
    </row>
    <row r="37">
      <c r="A37" s="2" t="inlineStr">
        <is>
          <t>Transition</t>
        </is>
      </c>
      <c r="B37" s="2" t="inlineStr"/>
      <c r="C37" s="2">
        <f>COUNTIFS('All Articles'!$C:$C,$A37,'All Articles'!$D:$D,C$35)</f>
        <v/>
      </c>
      <c r="D37" s="2">
        <f>COUNTIFS('All Articles'!$C:$C,$A37,'All Articles'!$D:$D,D$35)</f>
        <v/>
      </c>
      <c r="E37" s="2">
        <f>COUNTIFS('All Articles'!$C:$C,$A37,'All Articles'!$D:$D,E$35)</f>
        <v/>
      </c>
      <c r="F37" s="2">
        <f>COUNTIFS('All Articles'!$C:$C,$A37,'All Articles'!$D:$D,F$35)</f>
        <v/>
      </c>
      <c r="G37" s="2">
        <f>COUNTIFS('All Articles'!$C:$C,$A37,'All Articles'!$D:$D,G$35)</f>
        <v/>
      </c>
      <c r="H37" s="2">
        <f>COUNTIFS('All Articles'!$C:$C,$A37,'All Articles'!$D:$D,H$35)</f>
        <v/>
      </c>
      <c r="I37" s="2">
        <f>COUNTIFS('All Articles'!$C:$C,$A37,'All Articles'!$D:$D,I$35)</f>
        <v/>
      </c>
      <c r="J37" s="2">
        <f>COUNTIFS('All Articles'!$C:$C,$A37,'All Articles'!$D:$D,J$35)</f>
        <v/>
      </c>
      <c r="K37" s="2">
        <f>COUNTIFS('All Articles'!$C:$C,$A37,'All Articles'!$D:$D,K$35)</f>
        <v/>
      </c>
      <c r="L37" s="2">
        <f>COUNTIFS('All Articles'!$C:$C,$A37,'All Articles'!$D:$D,L$35)</f>
        <v/>
      </c>
      <c r="M37" s="2">
        <f>SUM(C37:L37)</f>
        <v/>
      </c>
      <c r="N37" s="2" t="n"/>
    </row>
    <row r="38">
      <c r="A38" s="2" t="inlineStr">
        <is>
          <t>Post-withdrawal</t>
        </is>
      </c>
      <c r="B38" s="2" t="inlineStr"/>
      <c r="C38" s="2">
        <f>COUNTIFS('All Articles'!$C:$C,$A38,'All Articles'!$D:$D,C$35)</f>
        <v/>
      </c>
      <c r="D38" s="2">
        <f>COUNTIFS('All Articles'!$C:$C,$A38,'All Articles'!$D:$D,D$35)</f>
        <v/>
      </c>
      <c r="E38" s="2">
        <f>COUNTIFS('All Articles'!$C:$C,$A38,'All Articles'!$D:$D,E$35)</f>
        <v/>
      </c>
      <c r="F38" s="2">
        <f>COUNTIFS('All Articles'!$C:$C,$A38,'All Articles'!$D:$D,F$35)</f>
        <v/>
      </c>
      <c r="G38" s="2">
        <f>COUNTIFS('All Articles'!$C:$C,$A38,'All Articles'!$D:$D,G$35)</f>
        <v/>
      </c>
      <c r="H38" s="2">
        <f>COUNTIFS('All Articles'!$C:$C,$A38,'All Articles'!$D:$D,H$35)</f>
        <v/>
      </c>
      <c r="I38" s="2">
        <f>COUNTIFS('All Articles'!$C:$C,$A38,'All Articles'!$D:$D,I$35)</f>
        <v/>
      </c>
      <c r="J38" s="2">
        <f>COUNTIFS('All Articles'!$C:$C,$A38,'All Articles'!$D:$D,J$35)</f>
        <v/>
      </c>
      <c r="K38" s="2">
        <f>COUNTIFS('All Articles'!$C:$C,$A38,'All Articles'!$D:$D,K$35)</f>
        <v/>
      </c>
      <c r="L38" s="2">
        <f>COUNTIFS('All Articles'!$C:$C,$A38,'All Articles'!$D:$D,L$35)</f>
        <v/>
      </c>
      <c r="M38" s="2">
        <f>SUM(C38:L38)</f>
        <v/>
      </c>
      <c r="N38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6" customWidth="1" min="4" max="4"/>
    <col width="22" customWidth="1" min="5" max="5"/>
    <col width="26" customWidth="1" min="6" max="6"/>
    <col width="60" customWidth="1" min="7" max="7"/>
    <col width="50" customWidth="1" min="8" max="8"/>
    <col width="45" customWidth="1" min="9" max="9"/>
    <col width="10" customWidth="1" min="10" max="10"/>
    <col width="10" customWidth="1" min="11" max="11"/>
    <col width="18" customWidth="1" min="12" max="12"/>
    <col width="16" customWidth="1" min="13" max="13"/>
    <col width="10" customWidth="1" min="14" max="14"/>
    <col width="28" customWidth="1" min="15" max="15"/>
    <col width="28" customWidth="1" min="16" max="16"/>
    <col width="28" customWidth="1" min="17" max="17"/>
    <col width="28" customWidth="1" min="18" max="18"/>
  </cols>
  <sheetData>
    <row r="1">
      <c r="A1" s="1" t="inlineStr">
        <is>
          <t>Month</t>
        </is>
      </c>
      <c r="B1" s="1" t="inlineStr">
        <is>
          <t>Date</t>
        </is>
      </c>
      <c r="C1" s="1" t="inlineStr">
        <is>
          <t>Period</t>
        </is>
      </c>
      <c r="D1" s="1" t="inlineStr">
        <is>
          <t>Country</t>
        </is>
      </c>
      <c r="E1" s="1" t="inlineStr">
        <is>
          <t>Source Type</t>
        </is>
      </c>
      <c r="F1" s="1" t="inlineStr">
        <is>
          <t>Site</t>
        </is>
      </c>
      <c r="G1" s="1" t="inlineStr">
        <is>
          <t>Title</t>
        </is>
      </c>
      <c r="H1" s="1" t="inlineStr">
        <is>
          <t>URL</t>
        </is>
      </c>
      <c r="I1" s="1" t="inlineStr">
        <is>
          <t>Matched Keywords</t>
        </is>
      </c>
      <c r="J1" s="1" t="inlineStr">
        <is>
          <t>Keyword Count</t>
        </is>
      </c>
      <c r="K1" s="1" t="inlineStr">
        <is>
          <t>Strong Match</t>
        </is>
      </c>
      <c r="L1" s="1" t="inlineStr">
        <is>
          <t>Minister/Person Country</t>
        </is>
      </c>
      <c r="M1" s="1" t="inlineStr">
        <is>
          <t>Date Source</t>
        </is>
      </c>
      <c r="N1" s="1" t="inlineStr">
        <is>
          <t>Word Count</t>
        </is>
      </c>
      <c r="O1" s="1" t="inlineStr">
        <is>
          <t>Regulatory Bodies hits</t>
        </is>
      </c>
      <c r="P1" s="1" t="inlineStr">
        <is>
          <t>Adjective Indicators hits</t>
        </is>
      </c>
      <c r="Q1" s="1" t="inlineStr">
        <is>
          <t>Organizations/Alliances hits</t>
        </is>
      </c>
      <c r="R1" s="1" t="inlineStr">
        <is>
          <t>Event/Person hits</t>
        </is>
      </c>
    </row>
    <row r="2">
      <c r="A2" s="2" t="inlineStr">
        <is>
          <t>2024-01</t>
        </is>
      </c>
      <c r="B2" s="4" t="n">
        <v>45298</v>
      </c>
      <c r="C2" s="2" t="inlineStr">
        <is>
          <t>Pre-withdrawal</t>
        </is>
      </c>
      <c r="D2" s="2" t="inlineStr">
        <is>
          <t>Hong Kong</t>
        </is>
      </c>
      <c r="E2" s="2" t="inlineStr">
        <is>
          <t>Govt press release</t>
        </is>
      </c>
      <c r="F2" s="2" t="inlineStr">
        <is>
          <t>info.gov.hk</t>
        </is>
      </c>
      <c r="G2" s="2" t="inlineStr">
        <is>
          <t>HKETO, Brussels supports Belgian sports event and promotes Hong Kong as a green and dynamic city (with photos)</t>
        </is>
      </c>
      <c r="H2" s="5" t="inlineStr">
        <is>
          <t>https://www.info.gov.hk/gia/general/202401/07/P2024010500085.htm</t>
        </is>
      </c>
      <c r="I2" s="2" t="inlineStr">
        <is>
          <t>green</t>
        </is>
      </c>
      <c r="J2" s="2" t="n">
        <v>1</v>
      </c>
      <c r="K2" s="2" t="inlineStr">
        <is>
          <t>No</t>
        </is>
      </c>
      <c r="L2" s="2" t="inlineStr"/>
      <c r="M2" s="2" t="inlineStr">
        <is>
          <t>url</t>
        </is>
      </c>
      <c r="N2" s="2" t="n">
        <v>215</v>
      </c>
      <c r="O2" s="2" t="inlineStr"/>
      <c r="P2" s="2" t="inlineStr">
        <is>
          <t>green</t>
        </is>
      </c>
      <c r="Q2" s="2" t="inlineStr"/>
      <c r="R2" s="2" t="inlineStr"/>
    </row>
    <row r="3">
      <c r="A3" s="2" t="inlineStr">
        <is>
          <t>2024-01</t>
        </is>
      </c>
      <c r="B3" s="4" t="n">
        <v>45307</v>
      </c>
      <c r="C3" s="2" t="inlineStr">
        <is>
          <t>Pre-withdrawal</t>
        </is>
      </c>
      <c r="D3" s="2" t="inlineStr">
        <is>
          <t>New Zealand</t>
        </is>
      </c>
      <c r="E3" s="2" t="inlineStr">
        <is>
          <t>Ministry of Environment</t>
        </is>
      </c>
      <c r="F3" s="2" t="inlineStr">
        <is>
          <t>environment.govt.nz</t>
        </is>
      </c>
      <c r="G3" s="2" t="inlineStr">
        <is>
          <t>Key initiatives</t>
        </is>
      </c>
      <c r="H3" s="5" t="inlineStr">
        <is>
          <t>https://environment.govt.nz/what-government-is-doing/key-initiatives/</t>
        </is>
      </c>
      <c r="I3" s="2" t="inlineStr">
        <is>
          <t>Environment</t>
        </is>
      </c>
      <c r="J3" s="2" t="n">
        <v>1</v>
      </c>
      <c r="K3" s="2" t="inlineStr">
        <is>
          <t>No</t>
        </is>
      </c>
      <c r="L3" s="2" t="inlineStr"/>
      <c r="M3" s="2" t="inlineStr">
        <is>
          <t>page metadata</t>
        </is>
      </c>
      <c r="N3" s="2" t="n">
        <v>128</v>
      </c>
      <c r="O3" s="2" t="inlineStr"/>
      <c r="P3" s="2" t="inlineStr">
        <is>
          <t>Environment</t>
        </is>
      </c>
      <c r="Q3" s="2" t="inlineStr"/>
      <c r="R3" s="2" t="inlineStr"/>
    </row>
    <row r="4">
      <c r="A4" s="2" t="inlineStr">
        <is>
          <t>2024-01</t>
        </is>
      </c>
      <c r="B4" s="4" t="n">
        <v>45308</v>
      </c>
      <c r="C4" s="2" t="inlineStr">
        <is>
          <t>Pre-withdrawal</t>
        </is>
      </c>
      <c r="D4" s="2" t="inlineStr">
        <is>
          <t>Hong Kong</t>
        </is>
      </c>
      <c r="E4" s="2" t="inlineStr">
        <is>
          <t>Govt press release</t>
        </is>
      </c>
      <c r="F4" s="2" t="inlineStr">
        <is>
          <t>info.gov.hk</t>
        </is>
      </c>
      <c r="G4" s="2" t="inlineStr">
        <is>
          <t>35th Meeting of APEC Expert Group on Energy Data and Analysis held in Hong Kong (with photos)</t>
        </is>
      </c>
      <c r="H4" s="5" t="inlineStr">
        <is>
          <t>https://www.info.gov.hk/gia/general/202401/17/P2024011700283.htm</t>
        </is>
      </c>
      <c r="I4" s="2" t="inlineStr">
        <is>
          <t>Climate; Climate Change; Environment; Tse Chin-Wan; carbon; carbon emissions; emissions; energy; transition</t>
        </is>
      </c>
      <c r="J4" s="2" t="n">
        <v>9</v>
      </c>
      <c r="K4" s="2" t="inlineStr">
        <is>
          <t>Yes</t>
        </is>
      </c>
      <c r="L4" s="2" t="inlineStr">
        <is>
          <t>Hong Kong</t>
        </is>
      </c>
      <c r="M4" s="2" t="inlineStr">
        <is>
          <t>url</t>
        </is>
      </c>
      <c r="N4" s="2" t="n">
        <v>444</v>
      </c>
      <c r="O4" s="2" t="inlineStr"/>
      <c r="P4" s="2" t="inlineStr">
        <is>
          <t>Climate; Climate Change; Environment; carbon; carbon emissions; emissions; energy; transition</t>
        </is>
      </c>
      <c r="Q4" s="2" t="inlineStr"/>
      <c r="R4" s="2" t="inlineStr">
        <is>
          <t>Tse Chin-Wan</t>
        </is>
      </c>
    </row>
    <row r="5">
      <c r="A5" s="2" t="inlineStr">
        <is>
          <t>2024-01</t>
        </is>
      </c>
      <c r="B5" s="4" t="n">
        <v>45310</v>
      </c>
      <c r="C5" s="2" t="inlineStr">
        <is>
          <t>Pre-withdrawal</t>
        </is>
      </c>
      <c r="D5" s="2" t="inlineStr">
        <is>
          <t>Hong Kong</t>
        </is>
      </c>
      <c r="E5" s="2" t="inlineStr">
        <is>
          <t>Govt press release</t>
        </is>
      </c>
      <c r="F5" s="2" t="inlineStr">
        <is>
          <t>info.gov.hk</t>
        </is>
      </c>
      <c r="G5" s="2" t="inlineStr">
        <is>
          <t>Prefabrication of modules for waste-to-energy facility IÂ·PARK1 completed (with photos)</t>
        </is>
      </c>
      <c r="H5" s="5" t="inlineStr">
        <is>
          <t>https://www.info.gov.hk/gia/general/202401/19/P2024011900367.htm</t>
        </is>
      </c>
      <c r="I5" s="2" t="inlineStr">
        <is>
          <t>Climate; carbon; energy</t>
        </is>
      </c>
      <c r="J5" s="2" t="n">
        <v>3</v>
      </c>
      <c r="K5" s="2" t="inlineStr">
        <is>
          <t>Yes</t>
        </is>
      </c>
      <c r="L5" s="2" t="inlineStr"/>
      <c r="M5" s="2" t="inlineStr">
        <is>
          <t>url</t>
        </is>
      </c>
      <c r="N5" s="2" t="n">
        <v>383</v>
      </c>
      <c r="O5" s="2" t="inlineStr"/>
      <c r="P5" s="2" t="inlineStr">
        <is>
          <t>Climate; carbon; energy</t>
        </is>
      </c>
      <c r="Q5" s="2" t="inlineStr"/>
      <c r="R5" s="2" t="inlineStr"/>
    </row>
    <row r="6">
      <c r="A6" s="2" t="inlineStr">
        <is>
          <t>2024-01</t>
        </is>
      </c>
      <c r="B6" s="4" t="n">
        <v>45310</v>
      </c>
      <c r="C6" s="2" t="inlineStr">
        <is>
          <t>Pre-withdrawal</t>
        </is>
      </c>
      <c r="D6" s="2" t="inlineStr">
        <is>
          <t>Hong Kong</t>
        </is>
      </c>
      <c r="E6" s="2" t="inlineStr">
        <is>
          <t>Govt press release</t>
        </is>
      </c>
      <c r="F6" s="2" t="inlineStr">
        <is>
          <t>info.gov.hk</t>
        </is>
      </c>
      <c r="G6" s="2" t="inlineStr">
        <is>
          <t>Public should take precautionary measures against carbon monoxide poisoning</t>
        </is>
      </c>
      <c r="H6" s="5" t="inlineStr">
        <is>
          <t>https://www.info.gov.hk/gia/general/202401/19/P2024011900709.htm</t>
        </is>
      </c>
      <c r="I6" s="2" t="inlineStr">
        <is>
          <t>carbon</t>
        </is>
      </c>
      <c r="J6" s="2" t="n">
        <v>1</v>
      </c>
      <c r="K6" s="2" t="inlineStr">
        <is>
          <t>No</t>
        </is>
      </c>
      <c r="L6" s="2" t="inlineStr"/>
      <c r="M6" s="2" t="inlineStr">
        <is>
          <t>url</t>
        </is>
      </c>
      <c r="N6" s="2" t="n">
        <v>412</v>
      </c>
      <c r="O6" s="2" t="inlineStr"/>
      <c r="P6" s="2" t="inlineStr">
        <is>
          <t>carbon</t>
        </is>
      </c>
      <c r="Q6" s="2" t="inlineStr"/>
      <c r="R6" s="2" t="inlineStr"/>
    </row>
    <row r="7">
      <c r="A7" s="2" t="inlineStr">
        <is>
          <t>2024-01</t>
        </is>
      </c>
      <c r="B7" s="4" t="n">
        <v>45315</v>
      </c>
      <c r="C7" s="2" t="inlineStr">
        <is>
          <t>Pre-withdrawal</t>
        </is>
      </c>
      <c r="D7" s="2" t="inlineStr">
        <is>
          <t>Hong Kong</t>
        </is>
      </c>
      <c r="E7" s="2" t="inlineStr">
        <is>
          <t>Govt press release</t>
        </is>
      </c>
      <c r="F7" s="2" t="inlineStr">
        <is>
          <t>info.gov.hk</t>
        </is>
      </c>
      <c r="G7" s="2" t="inlineStr">
        <is>
          <t>Asian Financial Forum explores strategies on sustainable economic development and opportunities of multilateral co-operation (with photos/videos)</t>
        </is>
      </c>
      <c r="H7" s="5" t="inlineStr">
        <is>
          <t>https://www.info.gov.hk/gia/general/202401/24/P2024012400767.htm</t>
        </is>
      </c>
      <c r="I7" s="2" t="inlineStr">
        <is>
          <t>Climate; Environment; Green Finance; Sustainability; Sustainable Economic Development; green; transition</t>
        </is>
      </c>
      <c r="J7" s="2" t="n">
        <v>7</v>
      </c>
      <c r="K7" s="2" t="inlineStr">
        <is>
          <t>Yes</t>
        </is>
      </c>
      <c r="L7" s="2" t="inlineStr"/>
      <c r="M7" s="2" t="inlineStr">
        <is>
          <t>url</t>
        </is>
      </c>
      <c r="N7" s="2" t="n">
        <v>1391</v>
      </c>
      <c r="O7" s="2" t="inlineStr"/>
      <c r="P7" s="2" t="inlineStr">
        <is>
          <t>Climate; Environment; Green Finance; Sustainability; Sustainable Economic Development; green; transition</t>
        </is>
      </c>
      <c r="Q7" s="2" t="inlineStr"/>
      <c r="R7" s="2" t="inlineStr"/>
    </row>
    <row r="8">
      <c r="A8" s="2" t="inlineStr">
        <is>
          <t>2024-01</t>
        </is>
      </c>
      <c r="B8" s="4" t="n">
        <v>45315</v>
      </c>
      <c r="C8" s="2" t="inlineStr">
        <is>
          <t>Pre-withdrawal</t>
        </is>
      </c>
      <c r="D8" s="2" t="inlineStr">
        <is>
          <t>Hong Kong</t>
        </is>
      </c>
      <c r="E8" s="2" t="inlineStr">
        <is>
          <t>Govt press release</t>
        </is>
      </c>
      <c r="F8" s="2" t="inlineStr">
        <is>
          <t>info.gov.hk</t>
        </is>
      </c>
      <c r="G8" s="2" t="inlineStr">
        <is>
          <t>LCQ19: Modern waste-to-energy incinerators</t>
        </is>
      </c>
      <c r="H8" s="5" t="inlineStr">
        <is>
          <t>https://www.info.gov.hk/gia/general/202401/24/P2024012400274.htm</t>
        </is>
      </c>
      <c r="I8" s="2" t="inlineStr">
        <is>
          <t>Temperature; emissions; energy; green; renewable energy</t>
        </is>
      </c>
      <c r="J8" s="2" t="n">
        <v>5</v>
      </c>
      <c r="K8" s="2" t="inlineStr">
        <is>
          <t>Yes</t>
        </is>
      </c>
      <c r="L8" s="2" t="inlineStr"/>
      <c r="M8" s="2" t="inlineStr">
        <is>
          <t>url</t>
        </is>
      </c>
      <c r="N8" s="2" t="n">
        <v>1159</v>
      </c>
      <c r="O8" s="2" t="inlineStr"/>
      <c r="P8" s="2" t="inlineStr">
        <is>
          <t>Temperature; emissions; energy; green; renewable energy</t>
        </is>
      </c>
      <c r="Q8" s="2" t="inlineStr"/>
      <c r="R8" s="2" t="inlineStr"/>
    </row>
    <row r="9">
      <c r="A9" s="2" t="inlineStr">
        <is>
          <t>2024-01</t>
        </is>
      </c>
      <c r="B9" s="4" t="n">
        <v>45316</v>
      </c>
      <c r="C9" s="2" t="inlineStr">
        <is>
          <t>Pre-withdrawal</t>
        </is>
      </c>
      <c r="D9" s="2" t="inlineStr">
        <is>
          <t>Hong Kong</t>
        </is>
      </c>
      <c r="E9" s="2" t="inlineStr">
        <is>
          <t>Govt press release</t>
        </is>
      </c>
      <c r="F9" s="2" t="inlineStr">
        <is>
          <t>info.gov.hk</t>
        </is>
      </c>
      <c r="G9" s="2" t="inlineStr">
        <is>
          <t>Opening remarks by Permanent Secretary for Financial Services and the Treasury (Financial Services) at Asian Financial Forum Thematic Workshop on Hong Kong - Financing Asia's Real Economy Net-Zero Transition (English only) (with photos)</t>
        </is>
      </c>
      <c r="H9" s="5" t="inlineStr">
        <is>
          <t>https://www.info.gov.hk/gia/general/202401/25/P2024012500654.htm</t>
        </is>
      </c>
      <c r="I9" s="2" t="inlineStr">
        <is>
          <t>COP; Climate; Climate Change; ESG; Environment; Green Finance; ISSB; Sustainability; Sustainability Reporting; Temperature; carbon; carbon credits; emissions; green; greenhouse gas; transition</t>
        </is>
      </c>
      <c r="J9" s="2" t="n">
        <v>16</v>
      </c>
      <c r="K9" s="2" t="inlineStr">
        <is>
          <t>Yes</t>
        </is>
      </c>
      <c r="L9" s="2" t="inlineStr"/>
      <c r="M9" s="2" t="inlineStr">
        <is>
          <t>url</t>
        </is>
      </c>
      <c r="N9" s="2" t="n">
        <v>1907</v>
      </c>
      <c r="O9" s="2" t="inlineStr">
        <is>
          <t>ISSB</t>
        </is>
      </c>
      <c r="P9" s="2" t="inlineStr">
        <is>
          <t>Climate; Climate Change; ESG; Environment; Green Finance; Sustainability; Sustainability Reporting; Temperature; carbon; carbon credits; emissions; green; greenhouse gas; transition</t>
        </is>
      </c>
      <c r="Q9" s="2" t="inlineStr">
        <is>
          <t>COP</t>
        </is>
      </c>
      <c r="R9" s="2" t="inlineStr"/>
    </row>
    <row r="10">
      <c r="A10" s="2" t="inlineStr">
        <is>
          <t>2024-01</t>
        </is>
      </c>
      <c r="B10" s="4" t="n">
        <v>45317</v>
      </c>
      <c r="C10" s="2" t="inlineStr">
        <is>
          <t>Pre-withdrawal</t>
        </is>
      </c>
      <c r="D10" s="2" t="inlineStr">
        <is>
          <t>Hong Kong</t>
        </is>
      </c>
      <c r="E10" s="2" t="inlineStr">
        <is>
          <t>Govt press release</t>
        </is>
      </c>
      <c r="F10" s="2" t="inlineStr">
        <is>
          <t>info.gov.hk</t>
        </is>
      </c>
      <c r="G10" s="2" t="inlineStr">
        <is>
          <t>Statement by Environment and Conservation Fund Committee on implementation of municipal solid waste charging scheme in Hong Kong</t>
        </is>
      </c>
      <c r="H10" s="5" t="inlineStr">
        <is>
          <t>https://www.info.gov.hk/gia/general/202401/26/P2024012600638.htm</t>
        </is>
      </c>
      <c r="I10" s="2" t="inlineStr">
        <is>
          <t>Environment</t>
        </is>
      </c>
      <c r="J10" s="2" t="n">
        <v>1</v>
      </c>
      <c r="K10" s="2" t="inlineStr">
        <is>
          <t>No</t>
        </is>
      </c>
      <c r="L10" s="2" t="inlineStr"/>
      <c r="M10" s="2" t="inlineStr">
        <is>
          <t>url</t>
        </is>
      </c>
      <c r="N10" s="2" t="n">
        <v>387</v>
      </c>
      <c r="O10" s="2" t="inlineStr"/>
      <c r="P10" s="2" t="inlineStr">
        <is>
          <t>Environment</t>
        </is>
      </c>
      <c r="Q10" s="2" t="inlineStr"/>
      <c r="R10" s="2" t="inlineStr"/>
    </row>
    <row r="11">
      <c r="A11" s="2" t="inlineStr">
        <is>
          <t>2024-01</t>
        </is>
      </c>
      <c r="B11" s="4" t="n">
        <v>45320</v>
      </c>
      <c r="C11" s="2" t="inlineStr">
        <is>
          <t>Pre-withdrawal</t>
        </is>
      </c>
      <c r="D11" s="2" t="inlineStr">
        <is>
          <t>Hong Kong</t>
        </is>
      </c>
      <c r="E11" s="2" t="inlineStr">
        <is>
          <t>Govt press release</t>
        </is>
      </c>
      <c r="F11" s="2" t="inlineStr">
        <is>
          <t>info.gov.hk</t>
        </is>
      </c>
      <c r="G11" s="2" t="inlineStr">
        <is>
          <t>Public should take precautionary measures against carbon monoxide poisoning</t>
        </is>
      </c>
      <c r="H11" s="5" t="inlineStr">
        <is>
          <t>https://www.info.gov.hk/gia/general/202401/29/P2024012900732.htm</t>
        </is>
      </c>
      <c r="I11" s="2" t="inlineStr">
        <is>
          <t>carbon</t>
        </is>
      </c>
      <c r="J11" s="2" t="n">
        <v>1</v>
      </c>
      <c r="K11" s="2" t="inlineStr">
        <is>
          <t>No</t>
        </is>
      </c>
      <c r="L11" s="2" t="inlineStr"/>
      <c r="M11" s="2" t="inlineStr">
        <is>
          <t>url</t>
        </is>
      </c>
      <c r="N11" s="2" t="n">
        <v>393</v>
      </c>
      <c r="O11" s="2" t="inlineStr"/>
      <c r="P11" s="2" t="inlineStr">
        <is>
          <t>carbon</t>
        </is>
      </c>
      <c r="Q11" s="2" t="inlineStr"/>
      <c r="R11" s="2" t="inlineStr"/>
    </row>
    <row r="12">
      <c r="A12" s="2" t="inlineStr">
        <is>
          <t>2024-01</t>
        </is>
      </c>
      <c r="B12" s="4" t="n">
        <v>45322</v>
      </c>
      <c r="C12" s="2" t="inlineStr">
        <is>
          <t>Pre-withdrawal</t>
        </is>
      </c>
      <c r="D12" s="2" t="inlineStr">
        <is>
          <t>Hong Kong</t>
        </is>
      </c>
      <c r="E12" s="2" t="inlineStr">
        <is>
          <t>Govt press release</t>
        </is>
      </c>
      <c r="F12" s="2" t="inlineStr">
        <is>
          <t>info.gov.hk</t>
        </is>
      </c>
      <c r="G12" s="2" t="inlineStr">
        <is>
          <t>Statement by Council for Carbon Neutrality and Sustainable Development on implementation of municipal solid waste charging scheme in Hong Kong</t>
        </is>
      </c>
      <c r="H12" s="5" t="inlineStr">
        <is>
          <t>https://www.info.gov.hk/gia/general/202401/31/P2024013100350.htm</t>
        </is>
      </c>
      <c r="I12" s="2" t="inlineStr">
        <is>
          <t>carbon; carbon emissions; emissions; energy; green</t>
        </is>
      </c>
      <c r="J12" s="2" t="n">
        <v>5</v>
      </c>
      <c r="K12" s="2" t="inlineStr">
        <is>
          <t>Yes</t>
        </is>
      </c>
      <c r="L12" s="2" t="inlineStr"/>
      <c r="M12" s="2" t="inlineStr">
        <is>
          <t>url</t>
        </is>
      </c>
      <c r="N12" s="2" t="n">
        <v>356</v>
      </c>
      <c r="O12" s="2" t="inlineStr"/>
      <c r="P12" s="2" t="inlineStr">
        <is>
          <t>carbon; carbon emissions; emissions; energy; green</t>
        </is>
      </c>
      <c r="Q12" s="2" t="inlineStr"/>
      <c r="R12" s="2" t="inlineStr"/>
    </row>
    <row r="13">
      <c r="A13" s="2" t="inlineStr">
        <is>
          <t>2024-02</t>
        </is>
      </c>
      <c r="B13" s="4" t="n">
        <v>45324</v>
      </c>
      <c r="C13" s="2" t="inlineStr">
        <is>
          <t>Pre-withdrawal</t>
        </is>
      </c>
      <c r="D13" s="2" t="inlineStr">
        <is>
          <t>Hong Kong</t>
        </is>
      </c>
      <c r="E13" s="2" t="inlineStr">
        <is>
          <t>Govt press release</t>
        </is>
      </c>
      <c r="F13" s="2" t="inlineStr">
        <is>
          <t>info.gov.hk</t>
        </is>
      </c>
      <c r="G13" s="2" t="inlineStr">
        <is>
          <t>Public should take precautionary measures against carbon monoxide poisoning</t>
        </is>
      </c>
      <c r="H13" s="5" t="inlineStr">
        <is>
          <t>https://www.info.gov.hk/gia/general/202402/02/P2024020200552.htm</t>
        </is>
      </c>
      <c r="I13" s="2" t="inlineStr">
        <is>
          <t>carbon</t>
        </is>
      </c>
      <c r="J13" s="2" t="n">
        <v>1</v>
      </c>
      <c r="K13" s="2" t="inlineStr">
        <is>
          <t>No</t>
        </is>
      </c>
      <c r="L13" s="2" t="inlineStr"/>
      <c r="M13" s="2" t="inlineStr">
        <is>
          <t>url</t>
        </is>
      </c>
      <c r="N13" s="2" t="n">
        <v>531</v>
      </c>
      <c r="O13" s="2" t="inlineStr"/>
      <c r="P13" s="2" t="inlineStr">
        <is>
          <t>carbon</t>
        </is>
      </c>
      <c r="Q13" s="2" t="inlineStr"/>
      <c r="R13" s="2" t="inlineStr"/>
    </row>
    <row r="14">
      <c r="A14" s="2" t="inlineStr">
        <is>
          <t>2024-02</t>
        </is>
      </c>
      <c r="B14" s="4" t="n">
        <v>45324</v>
      </c>
      <c r="C14" s="2" t="inlineStr">
        <is>
          <t>Pre-withdrawal</t>
        </is>
      </c>
      <c r="D14" s="2" t="inlineStr">
        <is>
          <t>Hong Kong</t>
        </is>
      </c>
      <c r="E14" s="2" t="inlineStr">
        <is>
          <t>Govt press release</t>
        </is>
      </c>
      <c r="F14" s="2" t="inlineStr">
        <is>
          <t>info.gov.hk</t>
        </is>
      </c>
      <c r="G14" s="2" t="inlineStr">
        <is>
          <t>Special operational arrangements for GREEN@COMMUNITY facilities during Lunar New Year holidays</t>
        </is>
      </c>
      <c r="H14" s="5" t="inlineStr">
        <is>
          <t>https://www.info.gov.hk/gia/general/202402/02/P2024020200651.htm</t>
        </is>
      </c>
      <c r="I14" s="2" t="inlineStr">
        <is>
          <t>Environment; green</t>
        </is>
      </c>
      <c r="J14" s="2" t="n">
        <v>2</v>
      </c>
      <c r="K14" s="2" t="inlineStr">
        <is>
          <t>No</t>
        </is>
      </c>
      <c r="L14" s="2" t="inlineStr"/>
      <c r="M14" s="2" t="inlineStr">
        <is>
          <t>url</t>
        </is>
      </c>
      <c r="N14" s="2" t="n">
        <v>315</v>
      </c>
      <c r="O14" s="2" t="inlineStr"/>
      <c r="P14" s="2" t="inlineStr">
        <is>
          <t>Environment; green</t>
        </is>
      </c>
      <c r="Q14" s="2" t="inlineStr"/>
      <c r="R14" s="2" t="inlineStr"/>
    </row>
    <row r="15">
      <c r="A15" s="2" t="inlineStr">
        <is>
          <t>2024-02</t>
        </is>
      </c>
      <c r="B15" s="4" t="n">
        <v>45327</v>
      </c>
      <c r="C15" s="2" t="inlineStr">
        <is>
          <t>Pre-withdrawal</t>
        </is>
      </c>
      <c r="D15" s="2" t="inlineStr">
        <is>
          <t>Hong Kong</t>
        </is>
      </c>
      <c r="E15" s="2" t="inlineStr">
        <is>
          <t>Govt press release</t>
        </is>
      </c>
      <c r="F15" s="2" t="inlineStr">
        <is>
          <t>info.gov.hk</t>
        </is>
      </c>
      <c r="G15" s="2" t="inlineStr">
        <is>
          <t>Government urges public to stop using "energy-saving ring" on gas cookers to avoid carbon monoxide poisoning</t>
        </is>
      </c>
      <c r="H15" s="5" t="inlineStr">
        <is>
          <t>https://www.info.gov.hk/gia/general/202402/05/P2024020500512.htm</t>
        </is>
      </c>
      <c r="I15" s="2" t="inlineStr">
        <is>
          <t>carbon; emissions; energy</t>
        </is>
      </c>
      <c r="J15" s="2" t="n">
        <v>3</v>
      </c>
      <c r="K15" s="2" t="inlineStr">
        <is>
          <t>Yes</t>
        </is>
      </c>
      <c r="L15" s="2" t="inlineStr"/>
      <c r="M15" s="2" t="inlineStr">
        <is>
          <t>url</t>
        </is>
      </c>
      <c r="N15" s="2" t="n">
        <v>500</v>
      </c>
      <c r="O15" s="2" t="inlineStr"/>
      <c r="P15" s="2" t="inlineStr">
        <is>
          <t>carbon; emissions; energy</t>
        </is>
      </c>
      <c r="Q15" s="2" t="inlineStr"/>
      <c r="R15" s="2" t="inlineStr"/>
    </row>
    <row r="16">
      <c r="A16" s="2" t="inlineStr">
        <is>
          <t>2024-02</t>
        </is>
      </c>
      <c r="B16" s="4" t="n">
        <v>45329</v>
      </c>
      <c r="C16" s="2" t="inlineStr">
        <is>
          <t>Pre-withdrawal</t>
        </is>
      </c>
      <c r="D16" s="2" t="inlineStr">
        <is>
          <t>Hong Kong</t>
        </is>
      </c>
      <c r="E16" s="2" t="inlineStr">
        <is>
          <t>Govt press release</t>
        </is>
      </c>
      <c r="F16" s="2" t="inlineStr">
        <is>
          <t>info.gov.hk</t>
        </is>
      </c>
      <c r="G16" s="2" t="inlineStr">
        <is>
          <t>HKSAR Government's Digital Green Bonds Offering</t>
        </is>
      </c>
      <c r="H16" s="5" t="inlineStr">
        <is>
          <t>https://www.info.gov.hk/gia/general/202402/07/P2024020700516.htm</t>
        </is>
      </c>
      <c r="I16" s="2" t="inlineStr">
        <is>
          <t>Transparency; green</t>
        </is>
      </c>
      <c r="J16" s="2" t="n">
        <v>2</v>
      </c>
      <c r="K16" s="2" t="inlineStr">
        <is>
          <t>No</t>
        </is>
      </c>
      <c r="L16" s="2" t="inlineStr"/>
      <c r="M16" s="2" t="inlineStr">
        <is>
          <t>url</t>
        </is>
      </c>
      <c r="N16" s="2" t="n">
        <v>1273</v>
      </c>
      <c r="O16" s="2" t="inlineStr"/>
      <c r="P16" s="2" t="inlineStr">
        <is>
          <t>Transparency; green</t>
        </is>
      </c>
      <c r="Q16" s="2" t="inlineStr"/>
      <c r="R16" s="2" t="inlineStr"/>
    </row>
    <row r="17">
      <c r="A17" s="2" t="inlineStr">
        <is>
          <t>2024-02</t>
        </is>
      </c>
      <c r="B17" s="4" t="n">
        <v>45345</v>
      </c>
      <c r="C17" s="2" t="inlineStr">
        <is>
          <t>Pre-withdrawal</t>
        </is>
      </c>
      <c r="D17" s="2" t="inlineStr">
        <is>
          <t>Hong Kong</t>
        </is>
      </c>
      <c r="E17" s="2" t="inlineStr">
        <is>
          <t>Govt press release</t>
        </is>
      </c>
      <c r="F17" s="2" t="inlineStr">
        <is>
          <t>info.gov.hk</t>
        </is>
      </c>
      <c r="G17" s="2" t="inlineStr">
        <is>
          <t>Qualifying standards for environment-friendly commercial vehicles to remain unchanged from April 2024 to March 2025</t>
        </is>
      </c>
      <c r="H17" s="5" t="inlineStr">
        <is>
          <t>https://www.info.gov.hk/gia/general/202402/23/P2024022300280.htm</t>
        </is>
      </c>
      <c r="I17" s="2" t="inlineStr">
        <is>
          <t>Environment; emissions</t>
        </is>
      </c>
      <c r="J17" s="2" t="n">
        <v>2</v>
      </c>
      <c r="K17" s="2" t="inlineStr">
        <is>
          <t>No</t>
        </is>
      </c>
      <c r="L17" s="2" t="inlineStr"/>
      <c r="M17" s="2" t="inlineStr">
        <is>
          <t>url</t>
        </is>
      </c>
      <c r="N17" s="2" t="n">
        <v>120</v>
      </c>
      <c r="O17" s="2" t="inlineStr"/>
      <c r="P17" s="2" t="inlineStr">
        <is>
          <t>Environment; emissions</t>
        </is>
      </c>
      <c r="Q17" s="2" t="inlineStr"/>
      <c r="R17" s="2" t="inlineStr"/>
    </row>
    <row r="18">
      <c r="A18" s="2" t="inlineStr">
        <is>
          <t>2024-02</t>
        </is>
      </c>
      <c r="B18" s="4" t="n">
        <v>45345</v>
      </c>
      <c r="C18" s="2" t="inlineStr">
        <is>
          <t>Pre-withdrawal</t>
        </is>
      </c>
      <c r="D18" s="2" t="inlineStr">
        <is>
          <t>Hong Kong</t>
        </is>
      </c>
      <c r="E18" s="2" t="inlineStr">
        <is>
          <t>Govt press release</t>
        </is>
      </c>
      <c r="F18" s="2" t="inlineStr">
        <is>
          <t>info.gov.hk</t>
        </is>
      </c>
      <c r="G18" s="2" t="inlineStr">
        <is>
          <t>SEE officiates at opening ceremony of GREEN@TSING YI (with photos)</t>
        </is>
      </c>
      <c r="H18" s="5" t="inlineStr">
        <is>
          <t>https://www.info.gov.hk/gia/general/202402/23/P2024022200349.htm</t>
        </is>
      </c>
      <c r="I18" s="2" t="inlineStr">
        <is>
          <t>carbon; green</t>
        </is>
      </c>
      <c r="J18" s="2" t="n">
        <v>2</v>
      </c>
      <c r="K18" s="2" t="inlineStr">
        <is>
          <t>No</t>
        </is>
      </c>
      <c r="L18" s="2" t="inlineStr"/>
      <c r="M18" s="2" t="inlineStr">
        <is>
          <t>url</t>
        </is>
      </c>
      <c r="N18" s="2" t="n">
        <v>366</v>
      </c>
      <c r="O18" s="2" t="inlineStr"/>
      <c r="P18" s="2" t="inlineStr">
        <is>
          <t>carbon; green</t>
        </is>
      </c>
      <c r="Q18" s="2" t="inlineStr"/>
      <c r="R18" s="2" t="inlineStr"/>
    </row>
    <row r="19">
      <c r="A19" s="2" t="inlineStr">
        <is>
          <t>2024-02</t>
        </is>
      </c>
      <c r="B19" s="4" t="n">
        <v>45350</v>
      </c>
      <c r="C19" s="2" t="inlineStr">
        <is>
          <t>Pre-withdrawal</t>
        </is>
      </c>
      <c r="D19" s="2" t="inlineStr">
        <is>
          <t>Hong Kong</t>
        </is>
      </c>
      <c r="E19" s="2" t="inlineStr">
        <is>
          <t>Govt press release</t>
        </is>
      </c>
      <c r="F19" s="2" t="inlineStr">
        <is>
          <t>info.gov.hk</t>
        </is>
      </c>
      <c r="G19" s="2" t="inlineStr">
        <is>
          <t>LCQ12: Operation of the community recycling network GREEN@COMMUNITY</t>
        </is>
      </c>
      <c r="H19" s="5" t="inlineStr">
        <is>
          <t>https://www.info.gov.hk/gia/general/202402/28/P2024022800306.htm</t>
        </is>
      </c>
      <c r="I19" s="2" t="inlineStr">
        <is>
          <t>Environment; green</t>
        </is>
      </c>
      <c r="J19" s="2" t="n">
        <v>2</v>
      </c>
      <c r="K19" s="2" t="inlineStr">
        <is>
          <t>No</t>
        </is>
      </c>
      <c r="L19" s="2" t="inlineStr"/>
      <c r="M19" s="2" t="inlineStr">
        <is>
          <t>url</t>
        </is>
      </c>
      <c r="N19" s="2" t="n">
        <v>2304</v>
      </c>
      <c r="O19" s="2" t="inlineStr"/>
      <c r="P19" s="2" t="inlineStr">
        <is>
          <t>Environment; green</t>
        </is>
      </c>
      <c r="Q19" s="2" t="inlineStr"/>
      <c r="R19" s="2" t="inlineStr"/>
    </row>
    <row r="20">
      <c r="A20" s="2" t="inlineStr">
        <is>
          <t>2024-02</t>
        </is>
      </c>
      <c r="B20" s="4" t="n">
        <v>45351</v>
      </c>
      <c r="C20" s="2" t="inlineStr">
        <is>
          <t>Pre-withdrawal</t>
        </is>
      </c>
      <c r="D20" s="2" t="inlineStr">
        <is>
          <t>Hong Kong</t>
        </is>
      </c>
      <c r="E20" s="2" t="inlineStr">
        <is>
          <t>Govt press release</t>
        </is>
      </c>
      <c r="F20" s="2" t="inlineStr">
        <is>
          <t>info.gov.hk</t>
        </is>
      </c>
      <c r="G20" s="2" t="inlineStr">
        <is>
          <t>Government to introduce resolution to set borrowing limit at $500 billion for expanded Government Green Bond Programme and new Infrastructure Bond Programme</t>
        </is>
      </c>
      <c r="H20" s="5" t="inlineStr">
        <is>
          <t>https://www.info.gov.hk/gia/general/202402/29/P2024022900260.htm</t>
        </is>
      </c>
      <c r="I20" s="2" t="inlineStr">
        <is>
          <t>Climate; Climate Change; Green Finance; green</t>
        </is>
      </c>
      <c r="J20" s="2" t="n">
        <v>4</v>
      </c>
      <c r="K20" s="2" t="inlineStr">
        <is>
          <t>No</t>
        </is>
      </c>
      <c r="L20" s="2" t="inlineStr"/>
      <c r="M20" s="2" t="inlineStr">
        <is>
          <t>url</t>
        </is>
      </c>
      <c r="N20" s="2" t="n">
        <v>303</v>
      </c>
      <c r="O20" s="2" t="inlineStr"/>
      <c r="P20" s="2" t="inlineStr">
        <is>
          <t>Climate; Climate Change; Green Finance; green</t>
        </is>
      </c>
      <c r="Q20" s="2" t="inlineStr"/>
      <c r="R20" s="2" t="inlineStr"/>
    </row>
    <row r="21">
      <c r="A21" s="2" t="inlineStr">
        <is>
          <t>2024-02</t>
        </is>
      </c>
      <c r="B21" s="4" t="n">
        <v>45351</v>
      </c>
      <c r="C21" s="2" t="inlineStr">
        <is>
          <t>Pre-withdrawal</t>
        </is>
      </c>
      <c r="D21" s="2" t="inlineStr">
        <is>
          <t>Hong Kong</t>
        </is>
      </c>
      <c r="E21" s="2" t="inlineStr">
        <is>
          <t>Govt press release</t>
        </is>
      </c>
      <c r="F21" s="2" t="inlineStr">
        <is>
          <t>info.gov.hk</t>
        </is>
      </c>
      <c r="G21" s="2" t="inlineStr">
        <is>
          <t>Housing Bureau holds seminar themed "Leveraging BuildTech and Green Finance in Public Housing" today to support Green Week (with photos)</t>
        </is>
      </c>
      <c r="H21" s="5" t="inlineStr">
        <is>
          <t>https://www.info.gov.hk/gia/general/202402/29/P2024022900351.htm</t>
        </is>
      </c>
      <c r="I21" s="2" t="inlineStr">
        <is>
          <t>Green Finance; Sustainability; green</t>
        </is>
      </c>
      <c r="J21" s="2" t="n">
        <v>3</v>
      </c>
      <c r="K21" s="2" t="inlineStr">
        <is>
          <t>No</t>
        </is>
      </c>
      <c r="L21" s="2" t="inlineStr"/>
      <c r="M21" s="2" t="inlineStr">
        <is>
          <t>url</t>
        </is>
      </c>
      <c r="N21" s="2" t="n">
        <v>325</v>
      </c>
      <c r="O21" s="2" t="inlineStr"/>
      <c r="P21" s="2" t="inlineStr">
        <is>
          <t>Green Finance; Sustainability; green</t>
        </is>
      </c>
      <c r="Q21" s="2" t="inlineStr"/>
      <c r="R21" s="2" t="inlineStr"/>
    </row>
    <row r="22">
      <c r="A22" s="2" t="inlineStr">
        <is>
          <t>2024-03</t>
        </is>
      </c>
      <c r="B22" s="4" t="n">
        <v>45352</v>
      </c>
      <c r="C22" s="2" t="inlineStr">
        <is>
          <t>Pre-withdrawal</t>
        </is>
      </c>
      <c r="D22" s="2" t="inlineStr">
        <is>
          <t>Hong Kong</t>
        </is>
      </c>
      <c r="E22" s="2" t="inlineStr">
        <is>
          <t>Govt press release</t>
        </is>
      </c>
      <c r="F22" s="2" t="inlineStr">
        <is>
          <t>info.gov.hk</t>
        </is>
      </c>
      <c r="G22" s="2" t="inlineStr">
        <is>
          <t>Conclusion of Hong Kong Green Week-Finance Stream</t>
        </is>
      </c>
      <c r="H22" s="5" t="inlineStr">
        <is>
          <t>https://www.info.gov.hk/gia/general/202403/01/P2024030100611.htm</t>
        </is>
      </c>
      <c r="I22" s="2" t="inlineStr">
        <is>
          <t>Circular; Circular Economy; Climate; Sustainability; carbon; energy; green; transition</t>
        </is>
      </c>
      <c r="J22" s="2" t="n">
        <v>8</v>
      </c>
      <c r="K22" s="2" t="inlineStr">
        <is>
          <t>Yes</t>
        </is>
      </c>
      <c r="L22" s="2" t="inlineStr"/>
      <c r="M22" s="2" t="inlineStr">
        <is>
          <t>url</t>
        </is>
      </c>
      <c r="N22" s="2" t="n">
        <v>360</v>
      </c>
      <c r="O22" s="2" t="inlineStr"/>
      <c r="P22" s="2" t="inlineStr">
        <is>
          <t>Circular; Circular Economy; Climate; Sustainability; carbon; energy; green; transition</t>
        </is>
      </c>
      <c r="Q22" s="2" t="inlineStr"/>
      <c r="R22" s="2" t="inlineStr"/>
    </row>
    <row r="23">
      <c r="A23" s="2" t="inlineStr">
        <is>
          <t>2024-06</t>
        </is>
      </c>
      <c r="B23" s="4" t="n">
        <v>45467</v>
      </c>
      <c r="C23" s="2" t="inlineStr">
        <is>
          <t>Pre-withdrawal</t>
        </is>
      </c>
      <c r="D23" s="2" t="inlineStr">
        <is>
          <t>New Zealand</t>
        </is>
      </c>
      <c r="E23" s="2" t="inlineStr">
        <is>
          <t>Ministry of Environment</t>
        </is>
      </c>
      <c r="F23" s="2" t="inlineStr">
        <is>
          <t>environment.govt.nz</t>
        </is>
      </c>
      <c r="G23" s="2" t="inlineStr">
        <is>
          <t>Climate scenarios toolkit</t>
        </is>
      </c>
      <c r="H23" s="5" t="inlineStr">
        <is>
          <t>https://environment.govt.nz/what-you-can-do/climate-scenarios-toolkit/</t>
        </is>
      </c>
      <c r="I23" s="2" t="inlineStr">
        <is>
          <t>Climate; Climate Change; Environment</t>
        </is>
      </c>
      <c r="J23" s="2" t="n">
        <v>3</v>
      </c>
      <c r="K23" s="2" t="inlineStr">
        <is>
          <t>No</t>
        </is>
      </c>
      <c r="L23" s="2" t="inlineStr"/>
      <c r="M23" s="2" t="inlineStr">
        <is>
          <t>page metadata</t>
        </is>
      </c>
      <c r="N23" s="2" t="n">
        <v>134</v>
      </c>
      <c r="O23" s="2" t="inlineStr"/>
      <c r="P23" s="2" t="inlineStr">
        <is>
          <t>Climate; Climate Change; Environment</t>
        </is>
      </c>
      <c r="Q23" s="2" t="inlineStr"/>
      <c r="R23" s="2" t="inlineStr"/>
    </row>
    <row r="24">
      <c r="A24" s="2" t="inlineStr">
        <is>
          <t>2024-09</t>
        </is>
      </c>
      <c r="B24" s="4" t="n">
        <v>45553</v>
      </c>
      <c r="C24" s="2" t="inlineStr">
        <is>
          <t>Pre-withdrawal</t>
        </is>
      </c>
      <c r="D24" s="2" t="inlineStr">
        <is>
          <t>New Zealand</t>
        </is>
      </c>
      <c r="E24" s="2" t="inlineStr">
        <is>
          <t>Ministry of Environment</t>
        </is>
      </c>
      <c r="F24" s="2" t="inlineStr">
        <is>
          <t>environment.govt.nz</t>
        </is>
      </c>
      <c r="G24" s="2" t="inlineStr">
        <is>
          <t>Climate Change</t>
        </is>
      </c>
      <c r="H24" s="5" t="inlineStr">
        <is>
          <t>https://environment.govt.nz/facts-and-science/climate-change/</t>
        </is>
      </c>
      <c r="I24" s="2" t="inlineStr">
        <is>
          <t>Climate; Climate Change; Environment</t>
        </is>
      </c>
      <c r="J24" s="2" t="n">
        <v>3</v>
      </c>
      <c r="K24" s="2" t="inlineStr">
        <is>
          <t>No</t>
        </is>
      </c>
      <c r="L24" s="2" t="inlineStr"/>
      <c r="M24" s="2" t="inlineStr">
        <is>
          <t>page metadata</t>
        </is>
      </c>
      <c r="N24" s="2" t="n">
        <v>134</v>
      </c>
      <c r="O24" s="2" t="inlineStr"/>
      <c r="P24" s="2" t="inlineStr">
        <is>
          <t>Climate; Climate Change; Environment</t>
        </is>
      </c>
      <c r="Q24" s="2" t="inlineStr"/>
      <c r="R24" s="2" t="inlineStr"/>
    </row>
    <row r="25">
      <c r="A25" s="2" t="inlineStr">
        <is>
          <t>2024-10</t>
        </is>
      </c>
      <c r="B25" s="4" t="n">
        <v>45574</v>
      </c>
      <c r="C25" s="2" t="inlineStr">
        <is>
          <t>Pre-withdrawal</t>
        </is>
      </c>
      <c r="D25" s="2" t="inlineStr">
        <is>
          <t>New Zealand</t>
        </is>
      </c>
      <c r="E25" s="2" t="inlineStr">
        <is>
          <t>Ministry of Environment</t>
        </is>
      </c>
      <c r="F25" s="2" t="inlineStr">
        <is>
          <t>environment.govt.nz</t>
        </is>
      </c>
      <c r="G25" s="2" t="inlineStr">
        <is>
          <t>Environmental reporting</t>
        </is>
      </c>
      <c r="H25" s="5" t="inlineStr">
        <is>
          <t>https://environment.govt.nz/facts-and-science/environmental-reporting/</t>
        </is>
      </c>
      <c r="I25" s="2" t="inlineStr">
        <is>
          <t>Environment</t>
        </is>
      </c>
      <c r="J25" s="2" t="n">
        <v>1</v>
      </c>
      <c r="K25" s="2" t="inlineStr">
        <is>
          <t>No</t>
        </is>
      </c>
      <c r="L25" s="2" t="inlineStr"/>
      <c r="M25" s="2" t="inlineStr">
        <is>
          <t>page metadata</t>
        </is>
      </c>
      <c r="N25" s="2" t="n">
        <v>46</v>
      </c>
      <c r="O25" s="2" t="inlineStr"/>
      <c r="P25" s="2" t="inlineStr">
        <is>
          <t>Environment</t>
        </is>
      </c>
      <c r="Q25" s="2" t="inlineStr"/>
      <c r="R25" s="2" t="inlineStr"/>
    </row>
    <row r="26">
      <c r="A26" s="2" t="inlineStr">
        <is>
          <t>2025-03</t>
        </is>
      </c>
      <c r="B26" s="4" t="n">
        <v>45729</v>
      </c>
      <c r="C26" s="2" t="inlineStr">
        <is>
          <t>Transition</t>
        </is>
      </c>
      <c r="D26" s="2" t="inlineStr">
        <is>
          <t>New Zealand</t>
        </is>
      </c>
      <c r="E26" s="2" t="inlineStr">
        <is>
          <t>Ministry of Environment</t>
        </is>
      </c>
      <c r="F26" s="2" t="inlineStr">
        <is>
          <t>environment.govt.nz</t>
        </is>
      </c>
      <c r="G26" s="2" t="inlineStr">
        <is>
          <t>Take action – Te reo Māori</t>
        </is>
      </c>
      <c r="H26" s="5" t="inlineStr">
        <is>
          <t>https://environment.govt.nz/what-you-can-do/take-action-landing-page-te-reo/</t>
        </is>
      </c>
      <c r="I26" s="2" t="inlineStr">
        <is>
          <t>Environment</t>
        </is>
      </c>
      <c r="J26" s="2" t="n">
        <v>1</v>
      </c>
      <c r="K26" s="2" t="inlineStr">
        <is>
          <t>No</t>
        </is>
      </c>
      <c r="L26" s="2" t="inlineStr"/>
      <c r="M26" s="2" t="inlineStr">
        <is>
          <t>page metadata</t>
        </is>
      </c>
      <c r="N26" s="2" t="n">
        <v>123</v>
      </c>
      <c r="O26" s="2" t="inlineStr"/>
      <c r="P26" s="2" t="inlineStr">
        <is>
          <t>Environment</t>
        </is>
      </c>
      <c r="Q26" s="2" t="inlineStr"/>
      <c r="R26" s="2" t="inlineStr"/>
    </row>
    <row r="27">
      <c r="A27" s="2" t="inlineStr">
        <is>
          <t>2025-08</t>
        </is>
      </c>
      <c r="B27" s="4" t="n">
        <v>45877</v>
      </c>
      <c r="C27" s="2" t="inlineStr">
        <is>
          <t>Transition</t>
        </is>
      </c>
      <c r="D27" s="2" t="inlineStr">
        <is>
          <t>New Zealand</t>
        </is>
      </c>
      <c r="E27" s="2" t="inlineStr">
        <is>
          <t>Ministry of Environment</t>
        </is>
      </c>
      <c r="F27" s="2" t="inlineStr">
        <is>
          <t>environment.govt.nz</t>
        </is>
      </c>
      <c r="G27" s="2" t="inlineStr">
        <is>
          <t>Access to Experts</t>
        </is>
      </c>
      <c r="H27" s="5" t="inlineStr">
        <is>
          <t>https://environment.govt.nz/what-you-can-do/access-to-experts/</t>
        </is>
      </c>
      <c r="I27" s="2" t="inlineStr">
        <is>
          <t>Environment</t>
        </is>
      </c>
      <c r="J27" s="2" t="n">
        <v>1</v>
      </c>
      <c r="K27" s="2" t="inlineStr">
        <is>
          <t>No</t>
        </is>
      </c>
      <c r="L27" s="2" t="inlineStr"/>
      <c r="M27" s="2" t="inlineStr">
        <is>
          <t>page metadata</t>
        </is>
      </c>
      <c r="N27" s="2" t="n">
        <v>115</v>
      </c>
      <c r="O27" s="2" t="inlineStr"/>
      <c r="P27" s="2" t="inlineStr">
        <is>
          <t>Environment</t>
        </is>
      </c>
      <c r="Q27" s="2" t="inlineStr"/>
      <c r="R27" s="2" t="inlineStr"/>
    </row>
    <row r="28">
      <c r="A28" s="2" t="inlineStr">
        <is>
          <t>2026-03</t>
        </is>
      </c>
      <c r="B28" s="4" t="n">
        <v>46108</v>
      </c>
      <c r="C28" s="2" t="inlineStr">
        <is>
          <t>Post-withdrawal</t>
        </is>
      </c>
      <c r="D28" s="2" t="inlineStr">
        <is>
          <t>New Zealand</t>
        </is>
      </c>
      <c r="E28" s="2" t="inlineStr">
        <is>
          <t>Ministry of Environment</t>
        </is>
      </c>
      <c r="F28" s="2" t="inlineStr">
        <is>
          <t>environment.govt.nz</t>
        </is>
      </c>
      <c r="G28" s="2" t="inlineStr">
        <is>
          <t>Calculate your emissions</t>
        </is>
      </c>
      <c r="H28" s="5" t="inlineStr">
        <is>
          <t>https://environment.govt.nz/what-you-can-do/calculate-your-emissions/</t>
        </is>
      </c>
      <c r="I28" s="2" t="inlineStr">
        <is>
          <t>Environment; emissions</t>
        </is>
      </c>
      <c r="J28" s="2" t="n">
        <v>2</v>
      </c>
      <c r="K28" s="2" t="inlineStr">
        <is>
          <t>No</t>
        </is>
      </c>
      <c r="L28" s="2" t="inlineStr"/>
      <c r="M28" s="2" t="inlineStr">
        <is>
          <t>page metadata</t>
        </is>
      </c>
      <c r="N28" s="2" t="n">
        <v>115</v>
      </c>
      <c r="O28" s="2" t="inlineStr"/>
      <c r="P28" s="2" t="inlineStr">
        <is>
          <t>Environment; emissions</t>
        </is>
      </c>
      <c r="Q28" s="2" t="inlineStr"/>
      <c r="R28" s="2" t="inlineStr"/>
    </row>
    <row r="29">
      <c r="A29" s="2" t="inlineStr">
        <is>
          <t>2026-04</t>
        </is>
      </c>
      <c r="B29" s="4" t="n">
        <v>46121</v>
      </c>
      <c r="C29" s="2" t="inlineStr">
        <is>
          <t>Post-withdrawal</t>
        </is>
      </c>
      <c r="D29" s="2" t="inlineStr">
        <is>
          <t>Canada</t>
        </is>
      </c>
      <c r="E29" s="2" t="inlineStr">
        <is>
          <t>Ministry of Environment</t>
        </is>
      </c>
      <c r="F29" s="2" t="inlineStr">
        <is>
          <t>canada.ca</t>
        </is>
      </c>
      <c r="G29" s="2" t="inlineStr">
        <is>
          <t>Canada to launch hybrid AI weather model to strengthen forecasting for severe weather</t>
        </is>
      </c>
      <c r="H29" s="5" t="inlineStr">
        <is>
          <t>https://www.canada.ca/en/environment-climate-change/news/2026/04/canada-to-launch-hybrid-ai-weather-model-to-strengthen-forecasting-for-severe-weather.html</t>
        </is>
      </c>
      <c r="I29" s="2" t="inlineStr">
        <is>
          <t>Climate; Climate Change; Environment; Julie Dabrusin; Temperature</t>
        </is>
      </c>
      <c r="J29" s="2" t="n">
        <v>5</v>
      </c>
      <c r="K29" s="2" t="inlineStr">
        <is>
          <t>Yes</t>
        </is>
      </c>
      <c r="L29" s="2" t="inlineStr">
        <is>
          <t>Canada</t>
        </is>
      </c>
      <c r="M29" s="2" t="inlineStr">
        <is>
          <t>page metadata</t>
        </is>
      </c>
      <c r="N29" s="2" t="n">
        <v>753</v>
      </c>
      <c r="O29" s="2" t="inlineStr"/>
      <c r="P29" s="2" t="inlineStr">
        <is>
          <t>Climate; Climate Change; Environment; Temperature</t>
        </is>
      </c>
      <c r="Q29" s="2" t="inlineStr"/>
      <c r="R29" s="2" t="inlineStr">
        <is>
          <t>Julie Dabrusin</t>
        </is>
      </c>
    </row>
    <row r="30">
      <c r="A30" s="2" t="inlineStr">
        <is>
          <t>2026-04</t>
        </is>
      </c>
      <c r="B30" s="4" t="n">
        <v>46128</v>
      </c>
      <c r="C30" s="2" t="inlineStr">
        <is>
          <t>Post-withdrawal</t>
        </is>
      </c>
      <c r="D30" s="2" t="inlineStr">
        <is>
          <t>Canada</t>
        </is>
      </c>
      <c r="E30" s="2" t="inlineStr">
        <is>
          <t>Ministry of Environment</t>
        </is>
      </c>
      <c r="F30" s="2" t="inlineStr">
        <is>
          <t>canada.ca</t>
        </is>
      </c>
      <c r="G30" s="2" t="inlineStr">
        <is>
          <t>Environment and Climate Change Canada to hold a technical briefing ahead of the Petersberg Climate Dialogue and the G7 Environment Ministers’ Meeting</t>
        </is>
      </c>
      <c r="H30" s="5" t="inlineStr">
        <is>
          <t>https://www.canada.ca/en/environment-climate-change/news/2026/04/environment-and-climate-change-canada-to-hold-a-technical-briefing-ahead-of-the-petersberg-climate-dialogue-and-the-g7-environment-ministers-meeting.html</t>
        </is>
      </c>
      <c r="I30" s="2" t="inlineStr">
        <is>
          <t>Climate; Climate Change; Environment</t>
        </is>
      </c>
      <c r="J30" s="2" t="n">
        <v>3</v>
      </c>
      <c r="K30" s="2" t="inlineStr">
        <is>
          <t>No</t>
        </is>
      </c>
      <c r="L30" s="2" t="inlineStr"/>
      <c r="M30" s="2" t="inlineStr">
        <is>
          <t>page metadata</t>
        </is>
      </c>
      <c r="N30" s="2" t="n">
        <v>187</v>
      </c>
      <c r="O30" s="2" t="inlineStr"/>
      <c r="P30" s="2" t="inlineStr">
        <is>
          <t>Climate; Climate Change; Environment</t>
        </is>
      </c>
      <c r="Q30" s="2" t="inlineStr"/>
      <c r="R30" s="2" t="inlineStr"/>
    </row>
    <row r="31">
      <c r="A31" s="2" t="inlineStr">
        <is>
          <t>2026-04</t>
        </is>
      </c>
      <c r="B31" s="4" t="n">
        <v>46129</v>
      </c>
      <c r="C31" s="2" t="inlineStr">
        <is>
          <t>Post-withdrawal</t>
        </is>
      </c>
      <c r="D31" s="2" t="inlineStr">
        <is>
          <t>Canada</t>
        </is>
      </c>
      <c r="E31" s="2" t="inlineStr">
        <is>
          <t>Ministry of Environment</t>
        </is>
      </c>
      <c r="F31" s="2" t="inlineStr">
        <is>
          <t>canada.ca</t>
        </is>
      </c>
      <c r="G31" s="2" t="inlineStr">
        <is>
          <t>Minister Dabrusin to champion climate competitiveness, clean growth, and nature protection at G7</t>
        </is>
      </c>
      <c r="H31" s="5" t="inlineStr">
        <is>
          <t>https://www.canada.ca/en/environment-climate-change/news/2026/04/minister-dabrusin-to-champion-climate-competitiveness-clean-growth-and-nature-protection-at-g7.html</t>
        </is>
      </c>
      <c r="I31" s="2" t="inlineStr">
        <is>
          <t>COP; Climate; Climate Change; Environment; Julie Dabrusin; commitments; emissions; energy; transition</t>
        </is>
      </c>
      <c r="J31" s="2" t="n">
        <v>9</v>
      </c>
      <c r="K31" s="2" t="inlineStr">
        <is>
          <t>Yes</t>
        </is>
      </c>
      <c r="L31" s="2" t="inlineStr">
        <is>
          <t>Canada</t>
        </is>
      </c>
      <c r="M31" s="2" t="inlineStr">
        <is>
          <t>page metadata</t>
        </is>
      </c>
      <c r="N31" s="2" t="n">
        <v>852</v>
      </c>
      <c r="O31" s="2" t="inlineStr"/>
      <c r="P31" s="2" t="inlineStr">
        <is>
          <t>Climate; Climate Change; Environment; commitments; emissions; energy; transition</t>
        </is>
      </c>
      <c r="Q31" s="2" t="inlineStr">
        <is>
          <t>COP</t>
        </is>
      </c>
      <c r="R31" s="2" t="inlineStr">
        <is>
          <t>Julie Dabrusin</t>
        </is>
      </c>
    </row>
    <row r="32">
      <c r="A32" s="2" t="inlineStr">
        <is>
          <t>2026-04</t>
        </is>
      </c>
      <c r="B32" s="4" t="n">
        <v>46135</v>
      </c>
      <c r="C32" s="2" t="inlineStr">
        <is>
          <t>Post-withdrawal</t>
        </is>
      </c>
      <c r="D32" s="2" t="inlineStr">
        <is>
          <t>Canada</t>
        </is>
      </c>
      <c r="E32" s="2" t="inlineStr">
        <is>
          <t>Ministry of Environment</t>
        </is>
      </c>
      <c r="F32" s="2" t="inlineStr">
        <is>
          <t>canada.ca</t>
        </is>
      </c>
      <c r="G32" s="2" t="inlineStr">
        <is>
          <t>Parliamentary Secretary Myles to highlight Canada’s new nature strategy in Fredericton</t>
        </is>
      </c>
      <c r="H32" s="5" t="inlineStr">
        <is>
          <t>https://www.canada.ca/en/environment-climate-change/news/2026/04/parliamentary-secretary-myles-to-highlight-canadas-new-nature-strategy-in-fredericton.html</t>
        </is>
      </c>
      <c r="I32" s="2" t="inlineStr">
        <is>
          <t>Climate; Climate Change; Environment; Julie Dabrusin; Nathalie Provost</t>
        </is>
      </c>
      <c r="J32" s="2" t="n">
        <v>5</v>
      </c>
      <c r="K32" s="2" t="inlineStr">
        <is>
          <t>Yes</t>
        </is>
      </c>
      <c r="L32" s="2" t="inlineStr">
        <is>
          <t>Canada</t>
        </is>
      </c>
      <c r="M32" s="2" t="inlineStr">
        <is>
          <t>page metadata</t>
        </is>
      </c>
      <c r="N32" s="2" t="n">
        <v>163</v>
      </c>
      <c r="O32" s="2" t="inlineStr"/>
      <c r="P32" s="2" t="inlineStr">
        <is>
          <t>Climate; Climate Change; Environment</t>
        </is>
      </c>
      <c r="Q32" s="2" t="inlineStr"/>
      <c r="R32" s="2" t="inlineStr">
        <is>
          <t>Julie Dabrusin; Nathalie Provost</t>
        </is>
      </c>
    </row>
    <row r="33">
      <c r="A33" s="2" t="inlineStr">
        <is>
          <t>2026-04</t>
        </is>
      </c>
      <c r="B33" s="4" t="n">
        <v>46136</v>
      </c>
      <c r="C33" s="2" t="inlineStr">
        <is>
          <t>Post-withdrawal</t>
        </is>
      </c>
      <c r="D33" s="2" t="inlineStr">
        <is>
          <t>Canada</t>
        </is>
      </c>
      <c r="E33" s="2" t="inlineStr">
        <is>
          <t>Ministry of Environment</t>
        </is>
      </c>
      <c r="F33" s="2" t="inlineStr">
        <is>
          <t>canada.ca</t>
        </is>
      </c>
      <c r="G33" s="2" t="inlineStr">
        <is>
          <t>A Force of Nature: Canada’s Strategy to Protect Nature</t>
        </is>
      </c>
      <c r="H33" s="5" t="inlineStr">
        <is>
          <t>https://www.canada.ca/en/environment-climate-change/news/2026/04/a-force-of-nature-canadas-strategy-to-protect-nature.html</t>
        </is>
      </c>
      <c r="I33" s="2" t="inlineStr">
        <is>
          <t>Climate; Climate Change; Environment; Julie Dabrusin; Nathalie Provost; commitments; energy</t>
        </is>
      </c>
      <c r="J33" s="2" t="n">
        <v>7</v>
      </c>
      <c r="K33" s="2" t="inlineStr">
        <is>
          <t>Yes</t>
        </is>
      </c>
      <c r="L33" s="2" t="inlineStr">
        <is>
          <t>Canada</t>
        </is>
      </c>
      <c r="M33" s="2" t="inlineStr">
        <is>
          <t>page metadata</t>
        </is>
      </c>
      <c r="N33" s="2" t="n">
        <v>958</v>
      </c>
      <c r="O33" s="2" t="inlineStr"/>
      <c r="P33" s="2" t="inlineStr">
        <is>
          <t>Climate; Climate Change; Environment; commitments; energy</t>
        </is>
      </c>
      <c r="Q33" s="2" t="inlineStr"/>
      <c r="R33" s="2" t="inlineStr">
        <is>
          <t>Julie Dabrusin; Nathalie Provost</t>
        </is>
      </c>
    </row>
    <row r="34">
      <c r="A34" s="2" t="inlineStr">
        <is>
          <t>2026-04</t>
        </is>
      </c>
      <c r="B34" s="4" t="n">
        <v>46136</v>
      </c>
      <c r="C34" s="2" t="inlineStr">
        <is>
          <t>Post-withdrawal</t>
        </is>
      </c>
      <c r="D34" s="2" t="inlineStr">
        <is>
          <t>Canada</t>
        </is>
      </c>
      <c r="E34" s="2" t="inlineStr">
        <is>
          <t>Ministry of Environment</t>
        </is>
      </c>
      <c r="F34" s="2" t="inlineStr">
        <is>
          <t>canada.ca</t>
        </is>
      </c>
      <c r="G34" s="2" t="inlineStr">
        <is>
          <t>A Force of Nature: Canada’s Strategy to Protect Nature</t>
        </is>
      </c>
      <c r="H34" s="5" t="inlineStr">
        <is>
          <t>https://www.canada.ca/en/environment-climate-change/news/2026/04/a-force-of-nature-canadas-strategy-to-protect-nature0.html</t>
        </is>
      </c>
      <c r="I34" s="2" t="inlineStr">
        <is>
          <t>carbon; energy</t>
        </is>
      </c>
      <c r="J34" s="2" t="n">
        <v>2</v>
      </c>
      <c r="K34" s="2" t="inlineStr">
        <is>
          <t>No</t>
        </is>
      </c>
      <c r="L34" s="2" t="inlineStr"/>
      <c r="M34" s="2" t="inlineStr">
        <is>
          <t>page metadata</t>
        </is>
      </c>
      <c r="N34" s="2" t="n">
        <v>925</v>
      </c>
      <c r="O34" s="2" t="inlineStr"/>
      <c r="P34" s="2" t="inlineStr">
        <is>
          <t>carbon; energy</t>
        </is>
      </c>
      <c r="Q34" s="2" t="inlineStr"/>
      <c r="R34" s="2" t="inlineStr"/>
    </row>
    <row r="35">
      <c r="A35" s="2" t="inlineStr">
        <is>
          <t>2026-04</t>
        </is>
      </c>
      <c r="B35" s="4" t="n">
        <v>46136</v>
      </c>
      <c r="C35" s="2" t="inlineStr">
        <is>
          <t>Post-withdrawal</t>
        </is>
      </c>
      <c r="D35" s="2" t="inlineStr">
        <is>
          <t>Canada</t>
        </is>
      </c>
      <c r="E35" s="2" t="inlineStr">
        <is>
          <t>Ministry of Environment</t>
        </is>
      </c>
      <c r="F35" s="2" t="inlineStr">
        <is>
          <t>canada.ca</t>
        </is>
      </c>
      <c r="G35" s="2" t="inlineStr">
        <is>
          <t>Canada and Japan launch new actions to tackle methane, plastic pollution, and biodiversity loss</t>
        </is>
      </c>
      <c r="H35" s="5" t="inlineStr">
        <is>
          <t>https://www.canada.ca/en/environment-climate-change/news/2026/04/canada-and-japan-launch-new-actions-to-tackle-methane-plastic-pollution-and-biodiversity-loss.html</t>
        </is>
      </c>
      <c r="I35" s="2" t="inlineStr">
        <is>
          <t>COP; Climate; Climate Change; Environment; Julie Dabrusin; Paris Agreement; commitments; emissions; energy; transition</t>
        </is>
      </c>
      <c r="J35" s="2" t="n">
        <v>10</v>
      </c>
      <c r="K35" s="2" t="inlineStr">
        <is>
          <t>Yes</t>
        </is>
      </c>
      <c r="L35" s="2" t="inlineStr">
        <is>
          <t>Canada</t>
        </is>
      </c>
      <c r="M35" s="2" t="inlineStr">
        <is>
          <t>page metadata</t>
        </is>
      </c>
      <c r="N35" s="2" t="n">
        <v>773</v>
      </c>
      <c r="O35" s="2" t="inlineStr"/>
      <c r="P35" s="2" t="inlineStr">
        <is>
          <t>Climate; Climate Change; Environment; commitments; emissions; energy; transition</t>
        </is>
      </c>
      <c r="Q35" s="2" t="inlineStr">
        <is>
          <t>COP; Paris Agreement</t>
        </is>
      </c>
      <c r="R35" s="2" t="inlineStr">
        <is>
          <t>Julie Dabrusin</t>
        </is>
      </c>
    </row>
    <row r="36">
      <c r="A36" s="2" t="inlineStr">
        <is>
          <t>2026-04</t>
        </is>
      </c>
      <c r="B36" s="4" t="n">
        <v>46136</v>
      </c>
      <c r="C36" s="2" t="inlineStr">
        <is>
          <t>Post-withdrawal</t>
        </is>
      </c>
      <c r="D36" s="2" t="inlineStr">
        <is>
          <t>Canada</t>
        </is>
      </c>
      <c r="E36" s="2" t="inlineStr">
        <is>
          <t>Ministry of Environment</t>
        </is>
      </c>
      <c r="F36" s="2" t="inlineStr">
        <is>
          <t>canada.ca</t>
        </is>
      </c>
      <c r="G36" s="2" t="inlineStr">
        <is>
          <t>Minister Dabrusin champions a resilient, sustainable future at international environment talks</t>
        </is>
      </c>
      <c r="H36" s="5" t="inlineStr">
        <is>
          <t>https://www.canada.ca/en/environment-climate-change/news/2026/04/minister-dabrusin-champions-a-resilient-sustainable-future-at-international-environment-talks.html</t>
        </is>
      </c>
      <c r="I36" s="2" t="inlineStr">
        <is>
          <t>CBAM; COP; Climate; Climate Change; Environment; Julie Dabrusin; Paris Agreement; carbon; commitments; emissions; energy; greenhouse gas; renewable energy; transition</t>
        </is>
      </c>
      <c r="J36" s="2" t="n">
        <v>14</v>
      </c>
      <c r="K36" s="2" t="inlineStr">
        <is>
          <t>Yes</t>
        </is>
      </c>
      <c r="L36" s="2" t="inlineStr">
        <is>
          <t>Canada</t>
        </is>
      </c>
      <c r="M36" s="2" t="inlineStr">
        <is>
          <t>page metadata</t>
        </is>
      </c>
      <c r="N36" s="2" t="n">
        <v>1144</v>
      </c>
      <c r="O36" s="2" t="inlineStr">
        <is>
          <t>CBAM</t>
        </is>
      </c>
      <c r="P36" s="2" t="inlineStr">
        <is>
          <t>Climate; Climate Change; Environment; carbon; commitments; emissions; energy; greenhouse gas; renewable energy; transition</t>
        </is>
      </c>
      <c r="Q36" s="2" t="inlineStr">
        <is>
          <t>COP; Paris Agreement</t>
        </is>
      </c>
      <c r="R36" s="2" t="inlineStr">
        <is>
          <t>Julie Dabrusin</t>
        </is>
      </c>
    </row>
    <row r="37">
      <c r="A37" s="2" t="inlineStr">
        <is>
          <t>2026-05</t>
        </is>
      </c>
      <c r="B37" s="4" t="n">
        <v>46149</v>
      </c>
      <c r="C37" s="2" t="inlineStr">
        <is>
          <t>Post-withdrawal</t>
        </is>
      </c>
      <c r="D37" s="2" t="inlineStr">
        <is>
          <t>Canada</t>
        </is>
      </c>
      <c r="E37" s="2" t="inlineStr">
        <is>
          <t>Ministry of Environment</t>
        </is>
      </c>
      <c r="F37" s="2" t="inlineStr">
        <is>
          <t>canada.ca</t>
        </is>
      </c>
      <c r="G37" s="2" t="inlineStr">
        <is>
          <t>Secretary of State (Nature) Nathalie Provost will highlight Canada’s new nature strategy in the Estrie region</t>
        </is>
      </c>
      <c r="H37" s="5" t="inlineStr">
        <is>
          <t>https://www.canada.ca/en/environment-climate-change/news/2026/05/secretary-of-state-nature-nathalie-provost-will-highlight-canadas-new-nature-strategy-in-the-estrie-region.html</t>
        </is>
      </c>
      <c r="I37" s="2" t="inlineStr">
        <is>
          <t>Climate; Climate Change; Environment; Julie Dabrusin; Nathalie Provost</t>
        </is>
      </c>
      <c r="J37" s="2" t="n">
        <v>5</v>
      </c>
      <c r="K37" s="2" t="inlineStr">
        <is>
          <t>Yes</t>
        </is>
      </c>
      <c r="L37" s="2" t="inlineStr">
        <is>
          <t>Canada</t>
        </is>
      </c>
      <c r="M37" s="2" t="inlineStr">
        <is>
          <t>page metadata</t>
        </is>
      </c>
      <c r="N37" s="2" t="n">
        <v>168</v>
      </c>
      <c r="O37" s="2" t="inlineStr"/>
      <c r="P37" s="2" t="inlineStr">
        <is>
          <t>Climate; Climate Change; Environment</t>
        </is>
      </c>
      <c r="Q37" s="2" t="inlineStr"/>
      <c r="R37" s="2" t="inlineStr">
        <is>
          <t>Julie Dabrusin; Nathalie Provost</t>
        </is>
      </c>
    </row>
    <row r="38">
      <c r="A38" s="2" t="inlineStr">
        <is>
          <t>2026-05</t>
        </is>
      </c>
      <c r="B38" s="4" t="n">
        <v>46149</v>
      </c>
      <c r="C38" s="2" t="inlineStr">
        <is>
          <t>Post-withdrawal</t>
        </is>
      </c>
      <c r="D38" s="2" t="inlineStr">
        <is>
          <t>UK</t>
        </is>
      </c>
      <c r="E38" s="2" t="inlineStr">
        <is>
          <t>Ministry of Environment</t>
        </is>
      </c>
      <c r="F38" s="2" t="inlineStr">
        <is>
          <t>gov.uk</t>
        </is>
      </c>
      <c r="G38" s="2" t="inlineStr">
        <is>
          <t>WF6 1TP, Citron Hygiene UK Limited: environmental surrender issued - EPR/WE0090AB/S004</t>
        </is>
      </c>
      <c r="H38" s="5" t="inlineStr">
        <is>
          <t>https://www.gov.uk/government/publications/wf6-1tp-citron-hygiene-uk-limited-environmental-surrender-issued-eprwe0090abs004</t>
        </is>
      </c>
      <c r="I38" s="2" t="inlineStr">
        <is>
          <t>Environment; emissions</t>
        </is>
      </c>
      <c r="J38" s="2" t="n">
        <v>2</v>
      </c>
      <c r="K38" s="2" t="inlineStr">
        <is>
          <t>No</t>
        </is>
      </c>
      <c r="L38" s="2" t="inlineStr"/>
      <c r="M38" s="2" t="inlineStr">
        <is>
          <t>GOV.UK API</t>
        </is>
      </c>
      <c r="N38" s="2" t="n">
        <v>73</v>
      </c>
      <c r="O38" s="2" t="inlineStr"/>
      <c r="P38" s="2" t="inlineStr">
        <is>
          <t>Environment; emissions</t>
        </is>
      </c>
      <c r="Q38" s="2" t="inlineStr"/>
      <c r="R38" s="2" t="inlineStr"/>
    </row>
    <row r="39">
      <c r="A39" s="2" t="inlineStr">
        <is>
          <t>2026-05</t>
        </is>
      </c>
      <c r="B39" s="4" t="n">
        <v>46150</v>
      </c>
      <c r="C39" s="2" t="inlineStr">
        <is>
          <t>Post-withdrawal</t>
        </is>
      </c>
      <c r="D39" s="2" t="inlineStr">
        <is>
          <t>Canada</t>
        </is>
      </c>
      <c r="E39" s="2" t="inlineStr">
        <is>
          <t>Ministry of Environment</t>
        </is>
      </c>
      <c r="F39" s="2" t="inlineStr">
        <is>
          <t>canada.ca</t>
        </is>
      </c>
      <c r="G39" s="2" t="inlineStr">
        <is>
          <t>A Force of Nature: Canada’s Strategy to Protect Nature</t>
        </is>
      </c>
      <c r="H39" s="5" t="inlineStr">
        <is>
          <t>https://www.canada.ca/en/environment-climate-change/news/2026/05/a-force-of-nature-canadas-strategy-to-protect-nature.html</t>
        </is>
      </c>
      <c r="I39" s="2" t="inlineStr">
        <is>
          <t>Climate; Climate Change; Environment; Julie Dabrusin; Nathalie Provost; Sustainable Economy; commitments; energy</t>
        </is>
      </c>
      <c r="J39" s="2" t="n">
        <v>8</v>
      </c>
      <c r="K39" s="2" t="inlineStr">
        <is>
          <t>Yes</t>
        </is>
      </c>
      <c r="L39" s="2" t="inlineStr">
        <is>
          <t>Canada</t>
        </is>
      </c>
      <c r="M39" s="2" t="inlineStr">
        <is>
          <t>page metadata</t>
        </is>
      </c>
      <c r="N39" s="2" t="n">
        <v>1187</v>
      </c>
      <c r="O39" s="2" t="inlineStr"/>
      <c r="P39" s="2" t="inlineStr">
        <is>
          <t>Climate; Climate Change; Environment; Sustainable Economy; commitments; energy</t>
        </is>
      </c>
      <c r="Q39" s="2" t="inlineStr"/>
      <c r="R39" s="2" t="inlineStr">
        <is>
          <t>Julie Dabrusin; Nathalie Provost</t>
        </is>
      </c>
    </row>
    <row r="40">
      <c r="A40" s="2" t="inlineStr">
        <is>
          <t>2026-05</t>
        </is>
      </c>
      <c r="B40" s="4" t="n">
        <v>46150</v>
      </c>
      <c r="C40" s="2" t="inlineStr">
        <is>
          <t>Post-withdrawal</t>
        </is>
      </c>
      <c r="D40" s="2" t="inlineStr">
        <is>
          <t>Canada</t>
        </is>
      </c>
      <c r="E40" s="2" t="inlineStr">
        <is>
          <t>Ministry of Environment</t>
        </is>
      </c>
      <c r="F40" s="2" t="inlineStr">
        <is>
          <t>canada.ca</t>
        </is>
      </c>
      <c r="G40" s="2" t="inlineStr">
        <is>
          <t>Minister Dabrusin’s statement on World Migratory Bird Day</t>
        </is>
      </c>
      <c r="H40" s="5" t="inlineStr">
        <is>
          <t>https://www.canada.ca/en/environment-climate-change/news/2026/05/minister-dabrusins-statement-on-world-migratory-bird-day.html</t>
        </is>
      </c>
      <c r="I40" s="2" t="inlineStr">
        <is>
          <t>Climate; Climate Change; Environment; Julie Dabrusin; commitments</t>
        </is>
      </c>
      <c r="J40" s="2" t="n">
        <v>5</v>
      </c>
      <c r="K40" s="2" t="inlineStr">
        <is>
          <t>Yes</t>
        </is>
      </c>
      <c r="L40" s="2" t="inlineStr">
        <is>
          <t>Canada</t>
        </is>
      </c>
      <c r="M40" s="2" t="inlineStr">
        <is>
          <t>page metadata</t>
        </is>
      </c>
      <c r="N40" s="2" t="n">
        <v>386</v>
      </c>
      <c r="O40" s="2" t="inlineStr"/>
      <c r="P40" s="2" t="inlineStr">
        <is>
          <t>Climate; Climate Change; Environment; commitments</t>
        </is>
      </c>
      <c r="Q40" s="2" t="inlineStr"/>
      <c r="R40" s="2" t="inlineStr">
        <is>
          <t>Julie Dabrusin</t>
        </is>
      </c>
    </row>
    <row r="41">
      <c r="A41" s="2" t="inlineStr">
        <is>
          <t>2026-05</t>
        </is>
      </c>
      <c r="B41" s="4" t="n">
        <v>46150</v>
      </c>
      <c r="C41" s="2" t="inlineStr">
        <is>
          <t>Post-withdrawal</t>
        </is>
      </c>
      <c r="D41" s="2" t="inlineStr">
        <is>
          <t>Canada</t>
        </is>
      </c>
      <c r="E41" s="2" t="inlineStr">
        <is>
          <t>Ministry of Environment</t>
        </is>
      </c>
      <c r="F41" s="2" t="inlineStr">
        <is>
          <t>canada.ca</t>
        </is>
      </c>
      <c r="G41" s="2" t="inlineStr">
        <is>
          <t>Transport Desgagnés Inc. fined $40,000 for Canada Wildlife Act violations in Nunavut</t>
        </is>
      </c>
      <c r="H41" s="5" t="inlineStr">
        <is>
          <t>https://www.canada.ca/en/environment-climate-change/news/2026/05/transport-desgagnes-inc-fined-40000-for-canada-wildlife-act-violations-in-nunavut.html</t>
        </is>
      </c>
      <c r="I41" s="2" t="inlineStr">
        <is>
          <t>Climate; Climate Change; Environment</t>
        </is>
      </c>
      <c r="J41" s="2" t="n">
        <v>3</v>
      </c>
      <c r="K41" s="2" t="inlineStr">
        <is>
          <t>No</t>
        </is>
      </c>
      <c r="L41" s="2" t="inlineStr"/>
      <c r="M41" s="2" t="inlineStr">
        <is>
          <t>page metadata</t>
        </is>
      </c>
      <c r="N41" s="2" t="n">
        <v>569</v>
      </c>
      <c r="O41" s="2" t="inlineStr"/>
      <c r="P41" s="2" t="inlineStr">
        <is>
          <t>Climate; Climate Change; Environment</t>
        </is>
      </c>
      <c r="Q41" s="2" t="inlineStr"/>
      <c r="R41" s="2" t="inlineStr"/>
    </row>
    <row r="42">
      <c r="A42" s="2" t="inlineStr">
        <is>
          <t>2026-05</t>
        </is>
      </c>
      <c r="B42" s="4" t="n">
        <v>46153</v>
      </c>
      <c r="C42" s="2" t="inlineStr">
        <is>
          <t>Post-withdrawal</t>
        </is>
      </c>
      <c r="D42" s="2" t="inlineStr">
        <is>
          <t>Canada</t>
        </is>
      </c>
      <c r="E42" s="2" t="inlineStr">
        <is>
          <t>Ministry of Environment</t>
        </is>
      </c>
      <c r="F42" s="2" t="inlineStr">
        <is>
          <t>canada.ca</t>
        </is>
      </c>
      <c r="G42" s="2" t="inlineStr">
        <is>
          <t>Secretary of State (Nature) Provost will highlight Canada’s new nature strategy in Victoria</t>
        </is>
      </c>
      <c r="H42" s="5" t="inlineStr">
        <is>
          <t>https://www.canada.ca/en/environment-climate-change/news/2026/05/secretary-of-state-nature-provost-will-highlight-canadas-new-nature-strategy-in-victoria.html</t>
        </is>
      </c>
      <c r="I42" s="2" t="inlineStr">
        <is>
          <t>Climate; Climate Change; Environment; Nathalie Provost</t>
        </is>
      </c>
      <c r="J42" s="2" t="n">
        <v>4</v>
      </c>
      <c r="K42" s="2" t="inlineStr">
        <is>
          <t>Yes</t>
        </is>
      </c>
      <c r="L42" s="2" t="inlineStr">
        <is>
          <t>Canada</t>
        </is>
      </c>
      <c r="M42" s="2" t="inlineStr">
        <is>
          <t>page metadata</t>
        </is>
      </c>
      <c r="N42" s="2" t="n">
        <v>144</v>
      </c>
      <c r="O42" s="2" t="inlineStr"/>
      <c r="P42" s="2" t="inlineStr">
        <is>
          <t>Climate; Climate Change; Environment</t>
        </is>
      </c>
      <c r="Q42" s="2" t="inlineStr"/>
      <c r="R42" s="2" t="inlineStr">
        <is>
          <t>Nathalie Provost</t>
        </is>
      </c>
    </row>
    <row r="43">
      <c r="A43" s="2" t="inlineStr">
        <is>
          <t>2026-05</t>
        </is>
      </c>
      <c r="B43" s="4" t="n">
        <v>46154</v>
      </c>
      <c r="C43" s="2" t="inlineStr">
        <is>
          <t>Post-withdrawal</t>
        </is>
      </c>
      <c r="D43" s="2" t="inlineStr">
        <is>
          <t>Canada</t>
        </is>
      </c>
      <c r="E43" s="2" t="inlineStr">
        <is>
          <t>Ministry of Environment</t>
        </is>
      </c>
      <c r="F43" s="2" t="inlineStr">
        <is>
          <t>canada.ca</t>
        </is>
      </c>
      <c r="G43" s="2" t="inlineStr">
        <is>
          <t>A Force of Nature: Canada’s Strategy to Protect Nature</t>
        </is>
      </c>
      <c r="H43" s="5" t="inlineStr">
        <is>
          <t>https://www.canada.ca/en/environment-climate-change/news/2026/05/a-force-of-nature-canadas-strategy-to-protect-nature0.html</t>
        </is>
      </c>
      <c r="I43" s="2" t="inlineStr">
        <is>
          <t>Climate; Climate Change; Environment; Julie Dabrusin; Nathalie Provost; commitments; energy</t>
        </is>
      </c>
      <c r="J43" s="2" t="n">
        <v>7</v>
      </c>
      <c r="K43" s="2" t="inlineStr">
        <is>
          <t>Yes</t>
        </is>
      </c>
      <c r="L43" s="2" t="inlineStr">
        <is>
          <t>Canada</t>
        </is>
      </c>
      <c r="M43" s="2" t="inlineStr">
        <is>
          <t>page metadata</t>
        </is>
      </c>
      <c r="N43" s="2" t="n">
        <v>938</v>
      </c>
      <c r="O43" s="2" t="inlineStr"/>
      <c r="P43" s="2" t="inlineStr">
        <is>
          <t>Climate; Climate Change; Environment; commitments; energy</t>
        </is>
      </c>
      <c r="Q43" s="2" t="inlineStr"/>
      <c r="R43" s="2" t="inlineStr">
        <is>
          <t>Julie Dabrusin; Nathalie Provost</t>
        </is>
      </c>
    </row>
    <row r="44">
      <c r="A44" s="2" t="inlineStr">
        <is>
          <t>2026-05</t>
        </is>
      </c>
      <c r="B44" s="4" t="n">
        <v>46154</v>
      </c>
      <c r="C44" s="2" t="inlineStr">
        <is>
          <t>Post-withdrawal</t>
        </is>
      </c>
      <c r="D44" s="2" t="inlineStr">
        <is>
          <t>Canada</t>
        </is>
      </c>
      <c r="E44" s="2" t="inlineStr">
        <is>
          <t>Ministry of Environment</t>
        </is>
      </c>
      <c r="F44" s="2" t="inlineStr">
        <is>
          <t>canada.ca</t>
        </is>
      </c>
      <c r="G44" s="2" t="inlineStr">
        <is>
          <t>Government of Canada supports six new research projects to explore impacts of plastic pollution on Indigenous communities</t>
        </is>
      </c>
      <c r="H44" s="5" t="inlineStr">
        <is>
          <t>https://www.canada.ca/en/environment-climate-change/news/2026/05/government-of-canada-supports-six-new-research-projects-to-explore-impacts-of-plastic-pollution-on-indigenous-communities.html</t>
        </is>
      </c>
      <c r="I44" s="2" t="inlineStr">
        <is>
          <t>Climate; Climate Change; Environment; Julie Dabrusin</t>
        </is>
      </c>
      <c r="J44" s="2" t="n">
        <v>4</v>
      </c>
      <c r="K44" s="2" t="inlineStr">
        <is>
          <t>Yes</t>
        </is>
      </c>
      <c r="L44" s="2" t="inlineStr">
        <is>
          <t>Canada</t>
        </is>
      </c>
      <c r="M44" s="2" t="inlineStr">
        <is>
          <t>page metadata</t>
        </is>
      </c>
      <c r="N44" s="2" t="n">
        <v>787</v>
      </c>
      <c r="O44" s="2" t="inlineStr"/>
      <c r="P44" s="2" t="inlineStr">
        <is>
          <t>Climate; Climate Change; Environment</t>
        </is>
      </c>
      <c r="Q44" s="2" t="inlineStr"/>
      <c r="R44" s="2" t="inlineStr">
        <is>
          <t>Julie Dabrusin</t>
        </is>
      </c>
    </row>
    <row r="45">
      <c r="A45" s="2" t="inlineStr">
        <is>
          <t>2026-05</t>
        </is>
      </c>
      <c r="B45" s="4" t="n">
        <v>46155</v>
      </c>
      <c r="C45" s="2" t="inlineStr">
        <is>
          <t>Post-withdrawal</t>
        </is>
      </c>
      <c r="D45" s="2" t="inlineStr">
        <is>
          <t>UK</t>
        </is>
      </c>
      <c r="E45" s="2" t="inlineStr">
        <is>
          <t>Ministry of Environment</t>
        </is>
      </c>
      <c r="F45" s="2" t="inlineStr">
        <is>
          <t>gov.uk</t>
        </is>
      </c>
      <c r="G45" s="2" t="inlineStr">
        <is>
          <t>Environment Agency puts brakes on illegal waste site</t>
        </is>
      </c>
      <c r="H45" s="5" t="inlineStr">
        <is>
          <t>https://www.gov.uk/government/news/environment-agency-puts-brakes-on-illegal-waste-site</t>
        </is>
      </c>
      <c r="I45" s="2" t="inlineStr">
        <is>
          <t>Environment</t>
        </is>
      </c>
      <c r="J45" s="2" t="n">
        <v>1</v>
      </c>
      <c r="K45" s="2" t="inlineStr">
        <is>
          <t>No</t>
        </is>
      </c>
      <c r="L45" s="2" t="inlineStr"/>
      <c r="M45" s="2" t="inlineStr">
        <is>
          <t>GOV.UK API</t>
        </is>
      </c>
      <c r="N45" s="2" t="n">
        <v>450</v>
      </c>
      <c r="O45" s="2" t="inlineStr"/>
      <c r="P45" s="2" t="inlineStr">
        <is>
          <t>Environment</t>
        </is>
      </c>
      <c r="Q45" s="2" t="inlineStr"/>
      <c r="R45" s="2" t="inlineStr"/>
    </row>
    <row r="46">
      <c r="A46" s="2" t="inlineStr">
        <is>
          <t>2026-05</t>
        </is>
      </c>
      <c r="B46" s="4" t="n">
        <v>46156</v>
      </c>
      <c r="C46" s="2" t="inlineStr">
        <is>
          <t>Post-withdrawal</t>
        </is>
      </c>
      <c r="D46" s="2" t="inlineStr">
        <is>
          <t>UK</t>
        </is>
      </c>
      <c r="E46" s="2" t="inlineStr">
        <is>
          <t>Ministry of Environment</t>
        </is>
      </c>
      <c r="F46" s="2" t="inlineStr">
        <is>
          <t>gov.uk</t>
        </is>
      </c>
      <c r="G46" s="2" t="inlineStr">
        <is>
          <t>Environment Agency Board members' terms extended</t>
        </is>
      </c>
      <c r="H46" s="5" t="inlineStr">
        <is>
          <t>https://www.gov.uk/government/news/environment-agency-board-members-terms-extended</t>
        </is>
      </c>
      <c r="I46" s="2" t="inlineStr">
        <is>
          <t>Circular; Circular Economy; Climate; Climate Change; Environment; Sustainability; energy; green; transition</t>
        </is>
      </c>
      <c r="J46" s="2" t="n">
        <v>9</v>
      </c>
      <c r="K46" s="2" t="inlineStr">
        <is>
          <t>Yes</t>
        </is>
      </c>
      <c r="L46" s="2" t="inlineStr"/>
      <c r="M46" s="2" t="inlineStr">
        <is>
          <t>GOV.UK API</t>
        </is>
      </c>
      <c r="N46" s="2" t="n">
        <v>470</v>
      </c>
      <c r="O46" s="2" t="inlineStr"/>
      <c r="P46" s="2" t="inlineStr">
        <is>
          <t>Circular; Circular Economy; Climate; Climate Change; Environment; Sustainability; energy; green; transition</t>
        </is>
      </c>
      <c r="Q46" s="2" t="inlineStr"/>
      <c r="R46" s="2" t="inlineStr"/>
    </row>
    <row r="47">
      <c r="A47" s="2" t="inlineStr">
        <is>
          <t>2026-05</t>
        </is>
      </c>
      <c r="B47" s="4" t="n">
        <v>46157</v>
      </c>
      <c r="C47" s="2" t="inlineStr">
        <is>
          <t>Post-withdrawal</t>
        </is>
      </c>
      <c r="D47" s="2" t="inlineStr">
        <is>
          <t>Canada</t>
        </is>
      </c>
      <c r="E47" s="2" t="inlineStr">
        <is>
          <t>Ministry of Environment</t>
        </is>
      </c>
      <c r="F47" s="2" t="inlineStr">
        <is>
          <t>canada.ca</t>
        </is>
      </c>
      <c r="G47" s="2" t="inlineStr">
        <is>
          <t>ArcelorMittal Exploitation Minière Canada s.e.n.c. fined $100 million for violating the Fisheries Act through illegal deposits of deleterious substances</t>
        </is>
      </c>
      <c r="H47" s="5" t="inlineStr">
        <is>
          <t>https://www.canada.ca/en/environment-climate-change/news/2026/05/arcelormittal-exploitation-miniere-canada-senc-fined-100-million-for-violating-the-fisheries-act-through-illegal-deposits-of-deleterious-substances.html</t>
        </is>
      </c>
      <c r="I47" s="2" t="inlineStr">
        <is>
          <t>Climate; Climate Change; Environment</t>
        </is>
      </c>
      <c r="J47" s="2" t="n">
        <v>3</v>
      </c>
      <c r="K47" s="2" t="inlineStr">
        <is>
          <t>No</t>
        </is>
      </c>
      <c r="L47" s="2" t="inlineStr"/>
      <c r="M47" s="2" t="inlineStr">
        <is>
          <t>page metadata</t>
        </is>
      </c>
      <c r="N47" s="2" t="n">
        <v>730</v>
      </c>
      <c r="O47" s="2" t="inlineStr"/>
      <c r="P47" s="2" t="inlineStr">
        <is>
          <t>Climate; Climate Change; Environment</t>
        </is>
      </c>
      <c r="Q47" s="2" t="inlineStr"/>
      <c r="R47" s="2" t="inlineStr"/>
    </row>
    <row r="48">
      <c r="A48" s="2" t="inlineStr">
        <is>
          <t>2026-05</t>
        </is>
      </c>
      <c r="B48" s="4" t="n">
        <v>46157</v>
      </c>
      <c r="C48" s="2" t="inlineStr">
        <is>
          <t>Post-withdrawal</t>
        </is>
      </c>
      <c r="D48" s="2" t="inlineStr">
        <is>
          <t>New Zealand</t>
        </is>
      </c>
      <c r="E48" s="2" t="inlineStr">
        <is>
          <t>Ministry of Environment</t>
        </is>
      </c>
      <c r="F48" s="2" t="inlineStr">
        <is>
          <t>environment.govt.nz</t>
        </is>
      </c>
      <c r="G48" s="2" t="inlineStr">
        <is>
          <t>Assessments for carbon removals</t>
        </is>
      </c>
      <c r="H48" s="5" t="inlineStr">
        <is>
          <t>https://environment.govt.nz/what-you-can-do/assessments-for-carbon-removals/</t>
        </is>
      </c>
      <c r="I48" s="2" t="inlineStr">
        <is>
          <t>Climate; Climate Change; carbon; emissions; greenhouse gas</t>
        </is>
      </c>
      <c r="J48" s="2" t="n">
        <v>5</v>
      </c>
      <c r="K48" s="2" t="inlineStr">
        <is>
          <t>Yes</t>
        </is>
      </c>
      <c r="L48" s="2" t="inlineStr"/>
      <c r="M48" s="2" t="inlineStr">
        <is>
          <t>page metadata</t>
        </is>
      </c>
      <c r="N48" s="2" t="n">
        <v>643</v>
      </c>
      <c r="O48" s="2" t="inlineStr"/>
      <c r="P48" s="2" t="inlineStr">
        <is>
          <t>Climate; Climate Change; carbon; emissions; greenhouse gas</t>
        </is>
      </c>
      <c r="Q48" s="2" t="inlineStr"/>
      <c r="R48" s="2" t="inlineStr"/>
    </row>
    <row r="49">
      <c r="A49" s="2" t="inlineStr">
        <is>
          <t>2026-05</t>
        </is>
      </c>
      <c r="B49" s="4" t="n">
        <v>46157</v>
      </c>
      <c r="C49" s="2" t="inlineStr">
        <is>
          <t>Post-withdrawal</t>
        </is>
      </c>
      <c r="D49" s="2" t="inlineStr">
        <is>
          <t>UK</t>
        </is>
      </c>
      <c r="E49" s="2" t="inlineStr">
        <is>
          <t>Ministry of Environment</t>
        </is>
      </c>
      <c r="F49" s="2" t="inlineStr">
        <is>
          <t>gov.uk</t>
        </is>
      </c>
      <c r="G49" s="2" t="inlineStr">
        <is>
          <t>Environment Agency issues Angus Fire permit variation</t>
        </is>
      </c>
      <c r="H49" s="5" t="inlineStr">
        <is>
          <t>https://www.gov.uk/government/news/environment-agency-issues-angus-fire-permit-variation</t>
        </is>
      </c>
      <c r="I49" s="2" t="inlineStr">
        <is>
          <t>Environment</t>
        </is>
      </c>
      <c r="J49" s="2" t="n">
        <v>1</v>
      </c>
      <c r="K49" s="2" t="inlineStr">
        <is>
          <t>No</t>
        </is>
      </c>
      <c r="L49" s="2" t="inlineStr"/>
      <c r="M49" s="2" t="inlineStr">
        <is>
          <t>GOV.UK API</t>
        </is>
      </c>
      <c r="N49" s="2" t="n">
        <v>532</v>
      </c>
      <c r="O49" s="2" t="inlineStr"/>
      <c r="P49" s="2" t="inlineStr">
        <is>
          <t>Environment</t>
        </is>
      </c>
      <c r="Q49" s="2" t="inlineStr"/>
      <c r="R49" s="2" t="inlineStr"/>
    </row>
    <row r="50">
      <c r="A50" s="2" t="inlineStr">
        <is>
          <t>2026-05</t>
        </is>
      </c>
      <c r="B50" s="4" t="n">
        <v>46157</v>
      </c>
      <c r="C50" s="2" t="inlineStr">
        <is>
          <t>Post-withdrawal</t>
        </is>
      </c>
      <c r="D50" s="2" t="inlineStr">
        <is>
          <t>UK</t>
        </is>
      </c>
      <c r="E50" s="2" t="inlineStr">
        <is>
          <t>Ministry of Environment</t>
        </is>
      </c>
      <c r="F50" s="2" t="inlineStr">
        <is>
          <t>gov.uk</t>
        </is>
      </c>
      <c r="G50" s="2" t="inlineStr">
        <is>
          <t>Farmer fined after pollution kills a thousand fish</t>
        </is>
      </c>
      <c r="H50" s="5" t="inlineStr">
        <is>
          <t>https://www.gov.uk/government/news/farmer-fined-after-pollution-kills-a-thousand-fish</t>
        </is>
      </c>
      <c r="I50" s="2" t="inlineStr">
        <is>
          <t>Environment</t>
        </is>
      </c>
      <c r="J50" s="2" t="n">
        <v>1</v>
      </c>
      <c r="K50" s="2" t="inlineStr">
        <is>
          <t>No</t>
        </is>
      </c>
      <c r="L50" s="2" t="inlineStr"/>
      <c r="M50" s="2" t="inlineStr">
        <is>
          <t>GOV.UK API</t>
        </is>
      </c>
      <c r="N50" s="2" t="n">
        <v>428</v>
      </c>
      <c r="O50" s="2" t="inlineStr"/>
      <c r="P50" s="2" t="inlineStr">
        <is>
          <t>Environment</t>
        </is>
      </c>
      <c r="Q50" s="2" t="inlineStr"/>
      <c r="R50" s="2" t="inlineStr"/>
    </row>
    <row r="51">
      <c r="A51" s="2" t="inlineStr">
        <is>
          <t>2026-05</t>
        </is>
      </c>
      <c r="B51" s="4" t="n">
        <v>46159</v>
      </c>
      <c r="C51" s="2" t="inlineStr">
        <is>
          <t>Post-withdrawal</t>
        </is>
      </c>
      <c r="D51" s="2" t="inlineStr">
        <is>
          <t>UK</t>
        </is>
      </c>
      <c r="E51" s="2" t="inlineStr">
        <is>
          <t>Ministry of Environment</t>
        </is>
      </c>
      <c r="F51" s="2" t="inlineStr">
        <is>
          <t>gov.uk</t>
        </is>
      </c>
      <c r="G51" s="2" t="inlineStr">
        <is>
          <t>New reforms to stop waste criminals from exploiting loopholes</t>
        </is>
      </c>
      <c r="H51" s="5" t="inlineStr">
        <is>
          <t>https://www.gov.uk/government/news/new-reforms-to-stop-waste-criminals-from-exploiting-loopholes</t>
        </is>
      </c>
      <c r="I51" s="2" t="inlineStr">
        <is>
          <t>Environment</t>
        </is>
      </c>
      <c r="J51" s="2" t="n">
        <v>1</v>
      </c>
      <c r="K51" s="2" t="inlineStr">
        <is>
          <t>No</t>
        </is>
      </c>
      <c r="L51" s="2" t="inlineStr"/>
      <c r="M51" s="2" t="inlineStr">
        <is>
          <t>GOV.UK API</t>
        </is>
      </c>
      <c r="N51" s="2" t="n">
        <v>911</v>
      </c>
      <c r="O51" s="2" t="inlineStr"/>
      <c r="P51" s="2" t="inlineStr">
        <is>
          <t>Environment</t>
        </is>
      </c>
      <c r="Q51" s="2" t="inlineStr"/>
      <c r="R51" s="2" t="inlineStr"/>
    </row>
    <row r="52">
      <c r="A52" s="2" t="inlineStr">
        <is>
          <t>2026-05</t>
        </is>
      </c>
      <c r="B52" s="4" t="n">
        <v>46160</v>
      </c>
      <c r="C52" s="2" t="inlineStr">
        <is>
          <t>Post-withdrawal</t>
        </is>
      </c>
      <c r="D52" s="2" t="inlineStr">
        <is>
          <t>UK</t>
        </is>
      </c>
      <c r="E52" s="2" t="inlineStr">
        <is>
          <t>Ministry of Environment</t>
        </is>
      </c>
      <c r="F52" s="2" t="inlineStr">
        <is>
          <t>gov.uk</t>
        </is>
      </c>
      <c r="G52" s="2" t="inlineStr">
        <is>
          <t>BH23 6BG, Eco Sustainable Solutions Limited: environmental permit issued - EPR/GP3793FY/V019</t>
        </is>
      </c>
      <c r="H52" s="5" t="inlineStr">
        <is>
          <t>https://www.gov.uk/government/publications/bh23-6bg-eco-sustainable-solutions-limited-environmental-permit-issued-eprgp3793fyv019</t>
        </is>
      </c>
      <c r="I52" s="2" t="inlineStr">
        <is>
          <t>Environment; emissions</t>
        </is>
      </c>
      <c r="J52" s="2" t="n">
        <v>2</v>
      </c>
      <c r="K52" s="2" t="inlineStr">
        <is>
          <t>No</t>
        </is>
      </c>
      <c r="L52" s="2" t="inlineStr"/>
      <c r="M52" s="2" t="inlineStr">
        <is>
          <t>GOV.UK API</t>
        </is>
      </c>
      <c r="N52" s="2" t="n">
        <v>77</v>
      </c>
      <c r="O52" s="2" t="inlineStr"/>
      <c r="P52" s="2" t="inlineStr">
        <is>
          <t>Environment; emissions</t>
        </is>
      </c>
      <c r="Q52" s="2" t="inlineStr"/>
      <c r="R52" s="2" t="inlineStr"/>
    </row>
    <row r="53">
      <c r="A53" s="2" t="inlineStr">
        <is>
          <t>2026-05</t>
        </is>
      </c>
      <c r="B53" s="4" t="n">
        <v>46160</v>
      </c>
      <c r="C53" s="2" t="inlineStr">
        <is>
          <t>Post-withdrawal</t>
        </is>
      </c>
      <c r="D53" s="2" t="inlineStr">
        <is>
          <t>UK</t>
        </is>
      </c>
      <c r="E53" s="2" t="inlineStr">
        <is>
          <t>Ministry of Environment</t>
        </is>
      </c>
      <c r="F53" s="2" t="inlineStr">
        <is>
          <t>gov.uk</t>
        </is>
      </c>
      <c r="G53" s="2" t="inlineStr">
        <is>
          <t>Have your say on proposed change to permit at Hinkley Point C</t>
        </is>
      </c>
      <c r="H53" s="5" t="inlineStr">
        <is>
          <t>https://www.gov.uk/government/news/have-your-say-on-proposed-change-to-permit-at-hinkley-point-c</t>
        </is>
      </c>
      <c r="I53" s="2" t="inlineStr">
        <is>
          <t>Environment</t>
        </is>
      </c>
      <c r="J53" s="2" t="n">
        <v>1</v>
      </c>
      <c r="K53" s="2" t="inlineStr">
        <is>
          <t>No</t>
        </is>
      </c>
      <c r="L53" s="2" t="inlineStr"/>
      <c r="M53" s="2" t="inlineStr">
        <is>
          <t>GOV.UK API</t>
        </is>
      </c>
      <c r="N53" s="2" t="n">
        <v>424</v>
      </c>
      <c r="O53" s="2" t="inlineStr"/>
      <c r="P53" s="2" t="inlineStr">
        <is>
          <t>Environment</t>
        </is>
      </c>
      <c r="Q53" s="2" t="inlineStr"/>
      <c r="R53" s="2" t="inlineStr"/>
    </row>
    <row r="54">
      <c r="A54" s="2" t="inlineStr">
        <is>
          <t>2026-05</t>
        </is>
      </c>
      <c r="B54" s="4" t="n">
        <v>46160</v>
      </c>
      <c r="C54" s="2" t="inlineStr">
        <is>
          <t>Post-withdrawal</t>
        </is>
      </c>
      <c r="D54" s="2" t="inlineStr">
        <is>
          <t>UK</t>
        </is>
      </c>
      <c r="E54" s="2" t="inlineStr">
        <is>
          <t>Ministry of Environment</t>
        </is>
      </c>
      <c r="F54" s="2" t="inlineStr">
        <is>
          <t>gov.uk</t>
        </is>
      </c>
      <c r="G54" s="2" t="inlineStr">
        <is>
          <t>YO43 4EB, Mr Richard Towse and Mrs Helen Towse: environmental permit issued - EPR/ZP3432JX/V003</t>
        </is>
      </c>
      <c r="H54" s="5" t="inlineStr">
        <is>
          <t>https://www.gov.uk/government/publications/yo43-4eb-mr-richard-towse-and---mrs-helen-towse-environmental-permit-issued-eprzp3432jxv003</t>
        </is>
      </c>
      <c r="I54" s="2" t="inlineStr">
        <is>
          <t>Environment; emissions</t>
        </is>
      </c>
      <c r="J54" s="2" t="n">
        <v>2</v>
      </c>
      <c r="K54" s="2" t="inlineStr">
        <is>
          <t>No</t>
        </is>
      </c>
      <c r="L54" s="2" t="inlineStr"/>
      <c r="M54" s="2" t="inlineStr">
        <is>
          <t>GOV.UK API</t>
        </is>
      </c>
      <c r="N54" s="2" t="n">
        <v>81</v>
      </c>
      <c r="O54" s="2" t="inlineStr"/>
      <c r="P54" s="2" t="inlineStr">
        <is>
          <t>Environment; emissions</t>
        </is>
      </c>
      <c r="Q54" s="2" t="inlineStr"/>
      <c r="R54" s="2" t="inlineStr"/>
    </row>
    <row r="55">
      <c r="A55" s="2" t="inlineStr">
        <is>
          <t>2026-05</t>
        </is>
      </c>
      <c r="B55" s="4" t="n">
        <v>46161</v>
      </c>
      <c r="C55" s="2" t="inlineStr">
        <is>
          <t>Post-withdrawal</t>
        </is>
      </c>
      <c r="D55" s="2" t="inlineStr">
        <is>
          <t>UK</t>
        </is>
      </c>
      <c r="E55" s="2" t="inlineStr">
        <is>
          <t>Ministry of Environment</t>
        </is>
      </c>
      <c r="F55" s="2" t="inlineStr">
        <is>
          <t>gov.uk</t>
        </is>
      </c>
      <c r="G55" s="2" t="inlineStr">
        <is>
          <t>Third waste carrier convicted in Environment Agency operation</t>
        </is>
      </c>
      <c r="H55" s="5" t="inlineStr">
        <is>
          <t>https://www.gov.uk/government/news/third-waste-carrier-convicted-in-environment-agency-operation</t>
        </is>
      </c>
      <c r="I55" s="2" t="inlineStr">
        <is>
          <t>Environment</t>
        </is>
      </c>
      <c r="J55" s="2" t="n">
        <v>1</v>
      </c>
      <c r="K55" s="2" t="inlineStr">
        <is>
          <t>No</t>
        </is>
      </c>
      <c r="L55" s="2" t="inlineStr"/>
      <c r="M55" s="2" t="inlineStr">
        <is>
          <t>GOV.UK API</t>
        </is>
      </c>
      <c r="N55" s="2" t="n">
        <v>499</v>
      </c>
      <c r="O55" s="2" t="inlineStr"/>
      <c r="P55" s="2" t="inlineStr">
        <is>
          <t>Environment</t>
        </is>
      </c>
      <c r="Q55" s="2" t="inlineStr"/>
      <c r="R55" s="2" t="inlineStr"/>
    </row>
    <row r="56">
      <c r="A56" s="2" t="inlineStr">
        <is>
          <t>2026-05</t>
        </is>
      </c>
      <c r="B56" s="4" t="n">
        <v>46162</v>
      </c>
      <c r="C56" s="2" t="inlineStr">
        <is>
          <t>Post-withdrawal</t>
        </is>
      </c>
      <c r="D56" s="2" t="inlineStr">
        <is>
          <t>Canada</t>
        </is>
      </c>
      <c r="E56" s="2" t="inlineStr">
        <is>
          <t>Ministry of Environment</t>
        </is>
      </c>
      <c r="F56" s="2" t="inlineStr">
        <is>
          <t>canada.ca</t>
        </is>
      </c>
      <c r="G56" s="2" t="inlineStr">
        <is>
          <t>Environment and Climate Change Canada presents the 2026 hurricane season outlook</t>
        </is>
      </c>
      <c r="H56" s="5" t="inlineStr">
        <is>
          <t>https://www.canada.ca/en/environment-climate-change/news/2026/05/environment-and-climate-change-canada-presents-the-2026-hurricane-season-outlook.html</t>
        </is>
      </c>
      <c r="I56" s="2" t="inlineStr">
        <is>
          <t>Climate; Climate Change; Environment</t>
        </is>
      </c>
      <c r="J56" s="2" t="n">
        <v>3</v>
      </c>
      <c r="K56" s="2" t="inlineStr">
        <is>
          <t>No</t>
        </is>
      </c>
      <c r="L56" s="2" t="inlineStr"/>
      <c r="M56" s="2" t="inlineStr">
        <is>
          <t>page metadata</t>
        </is>
      </c>
      <c r="N56" s="2" t="n">
        <v>176</v>
      </c>
      <c r="O56" s="2" t="inlineStr"/>
      <c r="P56" s="2" t="inlineStr">
        <is>
          <t>Climate; Climate Change; Environment</t>
        </is>
      </c>
      <c r="Q56" s="2" t="inlineStr"/>
      <c r="R56" s="2" t="inlineStr"/>
    </row>
    <row r="57">
      <c r="A57" s="2" t="inlineStr">
        <is>
          <t>2026-05</t>
        </is>
      </c>
      <c r="B57" s="4" t="n">
        <v>46162</v>
      </c>
      <c r="C57" s="2" t="inlineStr">
        <is>
          <t>Post-withdrawal</t>
        </is>
      </c>
      <c r="D57" s="2" t="inlineStr">
        <is>
          <t>UK</t>
        </is>
      </c>
      <c r="E57" s="2" t="inlineStr">
        <is>
          <t>Ministry of Environment</t>
        </is>
      </c>
      <c r="F57" s="2" t="inlineStr">
        <is>
          <t>gov.uk</t>
        </is>
      </c>
      <c r="G57" s="2" t="inlineStr">
        <is>
          <t>Man arrested in connection with illegal waste dumping</t>
        </is>
      </c>
      <c r="H57" s="5" t="inlineStr">
        <is>
          <t>https://www.gov.uk/government/news/man-arrested-in-connection-with-illegal-waste-dumping</t>
        </is>
      </c>
      <c r="I57" s="2" t="inlineStr">
        <is>
          <t>Emma Reynolds; Environment</t>
        </is>
      </c>
      <c r="J57" s="2" t="n">
        <v>2</v>
      </c>
      <c r="K57" s="2" t="inlineStr">
        <is>
          <t>Yes</t>
        </is>
      </c>
      <c r="L57" s="2" t="inlineStr">
        <is>
          <t>UK</t>
        </is>
      </c>
      <c r="M57" s="2" t="inlineStr">
        <is>
          <t>GOV.UK API</t>
        </is>
      </c>
      <c r="N57" s="2" t="n">
        <v>504</v>
      </c>
      <c r="O57" s="2" t="inlineStr"/>
      <c r="P57" s="2" t="inlineStr">
        <is>
          <t>Environment</t>
        </is>
      </c>
      <c r="Q57" s="2" t="inlineStr"/>
      <c r="R57" s="2" t="inlineStr">
        <is>
          <t>Emma Reynolds</t>
        </is>
      </c>
    </row>
    <row r="58">
      <c r="A58" s="2" t="inlineStr">
        <is>
          <t>2026-05</t>
        </is>
      </c>
      <c r="B58" s="4" t="n">
        <v>46162</v>
      </c>
      <c r="C58" s="2" t="inlineStr">
        <is>
          <t>Post-withdrawal</t>
        </is>
      </c>
      <c r="D58" s="2" t="inlineStr">
        <is>
          <t>UK</t>
        </is>
      </c>
      <c r="E58" s="2" t="inlineStr">
        <is>
          <t>Ministry of Environment</t>
        </is>
      </c>
      <c r="F58" s="2" t="inlineStr">
        <is>
          <t>gov.uk</t>
        </is>
      </c>
      <c r="G58" s="2" t="inlineStr">
        <is>
          <t>N18 3AG, Londonenergy Ltd: permit surrender issued - EPR/YP3500LS/S002</t>
        </is>
      </c>
      <c r="H58" s="5" t="inlineStr">
        <is>
          <t>https://www.gov.uk/government/publications/n18-3ag-londonenergy-ltd-permit-surrender-issued-epryp3500lss002</t>
        </is>
      </c>
      <c r="I58" s="2" t="inlineStr">
        <is>
          <t>Environment; emissions</t>
        </is>
      </c>
      <c r="J58" s="2" t="n">
        <v>2</v>
      </c>
      <c r="K58" s="2" t="inlineStr">
        <is>
          <t>No</t>
        </is>
      </c>
      <c r="L58" s="2" t="inlineStr"/>
      <c r="M58" s="2" t="inlineStr">
        <is>
          <t>GOV.UK API</t>
        </is>
      </c>
      <c r="N58" s="2" t="n">
        <v>68</v>
      </c>
      <c r="O58" s="2" t="inlineStr"/>
      <c r="P58" s="2" t="inlineStr">
        <is>
          <t>Environment; emissions</t>
        </is>
      </c>
      <c r="Q58" s="2" t="inlineStr"/>
      <c r="R58" s="2" t="inlineStr"/>
    </row>
    <row r="59">
      <c r="A59" s="2" t="inlineStr">
        <is>
          <t>2026-05</t>
        </is>
      </c>
      <c r="B59" s="4" t="n">
        <v>46162</v>
      </c>
      <c r="C59" s="2" t="inlineStr">
        <is>
          <t>Post-withdrawal</t>
        </is>
      </c>
      <c r="D59" s="2" t="inlineStr">
        <is>
          <t>UK</t>
        </is>
      </c>
      <c r="E59" s="2" t="inlineStr">
        <is>
          <t>Ministry of Environment</t>
        </is>
      </c>
      <c r="F59" s="2" t="inlineStr">
        <is>
          <t>gov.uk</t>
        </is>
      </c>
      <c r="G59" s="2" t="inlineStr">
        <is>
          <t>Science shows how tackling pollution now can protect Windermere's future</t>
        </is>
      </c>
      <c r="H59" s="5" t="inlineStr">
        <is>
          <t>https://www.gov.uk/government/news/science-shows-how-tackling-pollution-now-can-protect-windermeres-future</t>
        </is>
      </c>
      <c r="I59" s="2" t="inlineStr">
        <is>
          <t>Climate; Climate Change; Environment; green</t>
        </is>
      </c>
      <c r="J59" s="2" t="n">
        <v>4</v>
      </c>
      <c r="K59" s="2" t="inlineStr">
        <is>
          <t>Yes</t>
        </is>
      </c>
      <c r="L59" s="2" t="inlineStr"/>
      <c r="M59" s="2" t="inlineStr">
        <is>
          <t>GOV.UK API</t>
        </is>
      </c>
      <c r="N59" s="2" t="n">
        <v>697</v>
      </c>
      <c r="O59" s="2" t="inlineStr"/>
      <c r="P59" s="2" t="inlineStr">
        <is>
          <t>Climate; Climate Change; Environment; green</t>
        </is>
      </c>
      <c r="Q59" s="2" t="inlineStr"/>
      <c r="R59" s="2" t="inlineStr"/>
    </row>
    <row r="60">
      <c r="A60" s="2" t="inlineStr">
        <is>
          <t>2026-05</t>
        </is>
      </c>
      <c r="B60" s="4" t="n">
        <v>46163</v>
      </c>
      <c r="C60" s="2" t="inlineStr">
        <is>
          <t>Post-withdrawal</t>
        </is>
      </c>
      <c r="D60" s="2" t="inlineStr">
        <is>
          <t>Canada</t>
        </is>
      </c>
      <c r="E60" s="2" t="inlineStr">
        <is>
          <t>Ministry of Environment</t>
        </is>
      </c>
      <c r="F60" s="2" t="inlineStr">
        <is>
          <t>canada.ca</t>
        </is>
      </c>
      <c r="G60" s="2" t="inlineStr">
        <is>
          <t>Government of Canada prepares Canadians for upcoming hurricane season</t>
        </is>
      </c>
      <c r="H60" s="5" t="inlineStr">
        <is>
          <t>https://www.canada.ca/en/environment-climate-change/news/2026/05/government-of-canada-prepares-canadians-for-upcoming-hurricane-season.html</t>
        </is>
      </c>
      <c r="I60" s="2" t="inlineStr">
        <is>
          <t>Climate; Climate Change; Environment; Julie Dabrusin; Temperature</t>
        </is>
      </c>
      <c r="J60" s="2" t="n">
        <v>5</v>
      </c>
      <c r="K60" s="2" t="inlineStr">
        <is>
          <t>Yes</t>
        </is>
      </c>
      <c r="L60" s="2" t="inlineStr">
        <is>
          <t>Canada</t>
        </is>
      </c>
      <c r="M60" s="2" t="inlineStr">
        <is>
          <t>page metadata</t>
        </is>
      </c>
      <c r="N60" s="2" t="n">
        <v>560</v>
      </c>
      <c r="O60" s="2" t="inlineStr"/>
      <c r="P60" s="2" t="inlineStr">
        <is>
          <t>Climate; Climate Change; Environment; Temperature</t>
        </is>
      </c>
      <c r="Q60" s="2" t="inlineStr"/>
      <c r="R60" s="2" t="inlineStr">
        <is>
          <t>Julie Dabrusin</t>
        </is>
      </c>
    </row>
    <row r="61">
      <c r="A61" s="2" t="inlineStr">
        <is>
          <t>2026-05</t>
        </is>
      </c>
      <c r="B61" s="4" t="n">
        <v>46163</v>
      </c>
      <c r="C61" s="2" t="inlineStr">
        <is>
          <t>Post-withdrawal</t>
        </is>
      </c>
      <c r="D61" s="2" t="inlineStr">
        <is>
          <t>UK</t>
        </is>
      </c>
      <c r="E61" s="2" t="inlineStr">
        <is>
          <t>Ministry of Environment</t>
        </is>
      </c>
      <c r="F61" s="2" t="inlineStr">
        <is>
          <t>gov.uk</t>
        </is>
      </c>
      <c r="G61" s="2" t="inlineStr">
        <is>
          <t>HU12 8GA, Saltend Cogeneration Company Limited: environmental permit issued - EPR/QP3539LE/V012</t>
        </is>
      </c>
      <c r="H61" s="5" t="inlineStr">
        <is>
          <t>https://www.gov.uk/government/publications/hu12-8ga-saltend-cogeneration-company-limited-environmental-permit-issued-eprqp3539lev012</t>
        </is>
      </c>
      <c r="I61" s="2" t="inlineStr">
        <is>
          <t>Environment; emissions</t>
        </is>
      </c>
      <c r="J61" s="2" t="n">
        <v>2</v>
      </c>
      <c r="K61" s="2" t="inlineStr">
        <is>
          <t>No</t>
        </is>
      </c>
      <c r="L61" s="2" t="inlineStr"/>
      <c r="M61" s="2" t="inlineStr">
        <is>
          <t>GOV.UK API</t>
        </is>
      </c>
      <c r="N61" s="2" t="n">
        <v>75</v>
      </c>
      <c r="O61" s="2" t="inlineStr"/>
      <c r="P61" s="2" t="inlineStr">
        <is>
          <t>Environment; emissions</t>
        </is>
      </c>
      <c r="Q61" s="2" t="inlineStr"/>
      <c r="R61" s="2" t="inlineStr"/>
    </row>
    <row r="62">
      <c r="A62" s="2" t="inlineStr">
        <is>
          <t>2026-05</t>
        </is>
      </c>
      <c r="B62" s="4" t="n">
        <v>46163</v>
      </c>
      <c r="C62" s="2" t="inlineStr">
        <is>
          <t>Post-withdrawal</t>
        </is>
      </c>
      <c r="D62" s="2" t="inlineStr">
        <is>
          <t>UK</t>
        </is>
      </c>
      <c r="E62" s="2" t="inlineStr">
        <is>
          <t>Ministry of Environment</t>
        </is>
      </c>
      <c r="F62" s="2" t="inlineStr">
        <is>
          <t>gov.uk</t>
        </is>
      </c>
      <c r="G62" s="2" t="inlineStr">
        <is>
          <t>Repeat polluter pays out over slurry offences</t>
        </is>
      </c>
      <c r="H62" s="5" t="inlineStr">
        <is>
          <t>https://www.gov.uk/government/news/repeat-polluter-pays-out-over-slurry-offences</t>
        </is>
      </c>
      <c r="I62" s="2" t="inlineStr">
        <is>
          <t>Environment</t>
        </is>
      </c>
      <c r="J62" s="2" t="n">
        <v>1</v>
      </c>
      <c r="K62" s="2" t="inlineStr">
        <is>
          <t>No</t>
        </is>
      </c>
      <c r="L62" s="2" t="inlineStr"/>
      <c r="M62" s="2" t="inlineStr">
        <is>
          <t>GOV.UK API</t>
        </is>
      </c>
      <c r="N62" s="2" t="n">
        <v>933</v>
      </c>
      <c r="O62" s="2" t="inlineStr"/>
      <c r="P62" s="2" t="inlineStr">
        <is>
          <t>Environment</t>
        </is>
      </c>
      <c r="Q62" s="2" t="inlineStr"/>
      <c r="R62" s="2" t="inlineStr"/>
    </row>
    <row r="63">
      <c r="A63" s="2" t="inlineStr">
        <is>
          <t>2026-05</t>
        </is>
      </c>
      <c r="B63" s="4" t="n">
        <v>46163</v>
      </c>
      <c r="C63" s="2" t="inlineStr">
        <is>
          <t>Post-withdrawal</t>
        </is>
      </c>
      <c r="D63" s="2" t="inlineStr">
        <is>
          <t>UK</t>
        </is>
      </c>
      <c r="E63" s="2" t="inlineStr">
        <is>
          <t>Ministry of Environment</t>
        </is>
      </c>
      <c r="F63" s="2" t="inlineStr">
        <is>
          <t>gov.uk</t>
        </is>
      </c>
      <c r="G63" s="2" t="inlineStr">
        <is>
          <t>Romsey flood alleviation scheme strengthened with new defences</t>
        </is>
      </c>
      <c r="H63" s="5" t="inlineStr">
        <is>
          <t>https://www.gov.uk/government/news/romsey-flood-alleviation-scheme-strengthened-with-new-defences</t>
        </is>
      </c>
      <c r="I63" s="2" t="inlineStr">
        <is>
          <t>Environment</t>
        </is>
      </c>
      <c r="J63" s="2" t="n">
        <v>1</v>
      </c>
      <c r="K63" s="2" t="inlineStr">
        <is>
          <t>No</t>
        </is>
      </c>
      <c r="L63" s="2" t="inlineStr"/>
      <c r="M63" s="2" t="inlineStr">
        <is>
          <t>GOV.UK API</t>
        </is>
      </c>
      <c r="N63" s="2" t="n">
        <v>428</v>
      </c>
      <c r="O63" s="2" t="inlineStr"/>
      <c r="P63" s="2" t="inlineStr">
        <is>
          <t>Environment</t>
        </is>
      </c>
      <c r="Q63" s="2" t="inlineStr"/>
      <c r="R63" s="2" t="inlineStr"/>
    </row>
    <row r="64">
      <c r="A64" s="2" t="inlineStr">
        <is>
          <t>2026-05</t>
        </is>
      </c>
      <c r="B64" s="4" t="n">
        <v>46164</v>
      </c>
      <c r="C64" s="2" t="inlineStr">
        <is>
          <t>Post-withdrawal</t>
        </is>
      </c>
      <c r="D64" s="2" t="inlineStr">
        <is>
          <t>Canada</t>
        </is>
      </c>
      <c r="E64" s="2" t="inlineStr">
        <is>
          <t>Ministry of Environment</t>
        </is>
      </c>
      <c r="F64" s="2" t="inlineStr">
        <is>
          <t>canada.ca</t>
        </is>
      </c>
      <c r="G64" s="2" t="inlineStr">
        <is>
          <t>International Day for Biological Diversity 2026: Statement from the Honourable Julie Dabrusin, Minister of the Environment, Climate Change and Nature</t>
        </is>
      </c>
      <c r="H64" s="5" t="inlineStr">
        <is>
          <t>https://www.canada.ca/en/environment-climate-change/news/2026/05/international-day-for-biological-diversity-2026-statement-from-the-honourable-julie-dabrusin-minister-of-the-environment-climate-change-and-nature.html</t>
        </is>
      </c>
      <c r="I64" s="2" t="inlineStr">
        <is>
          <t>Climate; Climate Change; Environment; Julie Dabrusin; carbon; commitments</t>
        </is>
      </c>
      <c r="J64" s="2" t="n">
        <v>6</v>
      </c>
      <c r="K64" s="2" t="inlineStr">
        <is>
          <t>Yes</t>
        </is>
      </c>
      <c r="L64" s="2" t="inlineStr">
        <is>
          <t>Canada</t>
        </is>
      </c>
      <c r="M64" s="2" t="inlineStr">
        <is>
          <t>page metadata</t>
        </is>
      </c>
      <c r="N64" s="2" t="n">
        <v>664</v>
      </c>
      <c r="O64" s="2" t="inlineStr"/>
      <c r="P64" s="2" t="inlineStr">
        <is>
          <t>Climate; Climate Change; Environment; carbon; commitments</t>
        </is>
      </c>
      <c r="Q64" s="2" t="inlineStr"/>
      <c r="R64" s="2" t="inlineStr">
        <is>
          <t>Julie Dabrusin</t>
        </is>
      </c>
    </row>
    <row r="65">
      <c r="A65" s="2" t="inlineStr">
        <is>
          <t>2026-05</t>
        </is>
      </c>
      <c r="B65" s="4" t="n">
        <v>46164</v>
      </c>
      <c r="C65" s="2" t="inlineStr">
        <is>
          <t>Post-withdrawal</t>
        </is>
      </c>
      <c r="D65" s="2" t="inlineStr">
        <is>
          <t>UK</t>
        </is>
      </c>
      <c r="E65" s="2" t="inlineStr">
        <is>
          <t>Ministry of Environment</t>
        </is>
      </c>
      <c r="F65" s="2" t="inlineStr">
        <is>
          <t>gov.uk</t>
        </is>
      </c>
      <c r="G65" s="2" t="inlineStr">
        <is>
          <t>Environment Agency changes landfill permit to reduce odour risk</t>
        </is>
      </c>
      <c r="H65" s="5" t="inlineStr">
        <is>
          <t>https://www.gov.uk/government/news/environment-agency-changes-landfill-permit-to-reduce-odour-risk</t>
        </is>
      </c>
      <c r="I65" s="2" t="inlineStr">
        <is>
          <t>Environment</t>
        </is>
      </c>
      <c r="J65" s="2" t="n">
        <v>1</v>
      </c>
      <c r="K65" s="2" t="inlineStr">
        <is>
          <t>No</t>
        </is>
      </c>
      <c r="L65" s="2" t="inlineStr"/>
      <c r="M65" s="2" t="inlineStr">
        <is>
          <t>GOV.UK API</t>
        </is>
      </c>
      <c r="N65" s="2" t="n">
        <v>308</v>
      </c>
      <c r="O65" s="2" t="inlineStr"/>
      <c r="P65" s="2" t="inlineStr">
        <is>
          <t>Environment</t>
        </is>
      </c>
      <c r="Q65" s="2" t="inlineStr"/>
      <c r="R65" s="2" t="inlineStr"/>
    </row>
    <row r="66">
      <c r="A66" s="2" t="inlineStr">
        <is>
          <t>2026-05</t>
        </is>
      </c>
      <c r="B66" s="4" t="n">
        <v>46164</v>
      </c>
      <c r="C66" s="2" t="inlineStr">
        <is>
          <t>Post-withdrawal</t>
        </is>
      </c>
      <c r="D66" s="2" t="inlineStr">
        <is>
          <t>UK</t>
        </is>
      </c>
      <c r="E66" s="2" t="inlineStr">
        <is>
          <t>Ministry of Environment</t>
        </is>
      </c>
      <c r="F66" s="2" t="inlineStr">
        <is>
          <t>gov.uk</t>
        </is>
      </c>
      <c r="G66" s="2" t="inlineStr">
        <is>
          <t>New watchlist published to put a spotlight on waste</t>
        </is>
      </c>
      <c r="H66" s="5" t="inlineStr">
        <is>
          <t>https://www.gov.uk/government/news/new-watchlist-published-to-put-a-spotlight-on-waste</t>
        </is>
      </c>
      <c r="I66" s="2" t="inlineStr">
        <is>
          <t>Environment; Transparency</t>
        </is>
      </c>
      <c r="J66" s="2" t="n">
        <v>2</v>
      </c>
      <c r="K66" s="2" t="inlineStr">
        <is>
          <t>No</t>
        </is>
      </c>
      <c r="L66" s="2" t="inlineStr"/>
      <c r="M66" s="2" t="inlineStr">
        <is>
          <t>GOV.UK API</t>
        </is>
      </c>
      <c r="N66" s="2" t="n">
        <v>647</v>
      </c>
      <c r="O66" s="2" t="inlineStr"/>
      <c r="P66" s="2" t="inlineStr">
        <is>
          <t>Environment; Transparency</t>
        </is>
      </c>
      <c r="Q66" s="2" t="inlineStr"/>
      <c r="R66" s="2" t="inlineStr"/>
    </row>
    <row r="67">
      <c r="A67" s="2" t="inlineStr">
        <is>
          <t>2026-05</t>
        </is>
      </c>
      <c r="B67" s="4" t="n">
        <v>46168</v>
      </c>
      <c r="C67" s="2" t="inlineStr">
        <is>
          <t>Post-withdrawal</t>
        </is>
      </c>
      <c r="D67" s="2" t="inlineStr">
        <is>
          <t>UK</t>
        </is>
      </c>
      <c r="E67" s="2" t="inlineStr">
        <is>
          <t>Ministry of Environment</t>
        </is>
      </c>
      <c r="F67" s="2" t="inlineStr">
        <is>
          <t>gov.uk</t>
        </is>
      </c>
      <c r="G67" s="2" t="inlineStr">
        <is>
          <t>Lancashire recycling company sentenced for illegal waste exports</t>
        </is>
      </c>
      <c r="H67" s="5" t="inlineStr">
        <is>
          <t>https://www.gov.uk/government/news/lancashire-recycling-company-sentenced-for-illegal-waste-exports</t>
        </is>
      </c>
      <c r="I67" s="2" t="inlineStr">
        <is>
          <t>Environment; green</t>
        </is>
      </c>
      <c r="J67" s="2" t="n">
        <v>2</v>
      </c>
      <c r="K67" s="2" t="inlineStr">
        <is>
          <t>No</t>
        </is>
      </c>
      <c r="L67" s="2" t="inlineStr"/>
      <c r="M67" s="2" t="inlineStr">
        <is>
          <t>GOV.UK API</t>
        </is>
      </c>
      <c r="N67" s="2" t="n">
        <v>899</v>
      </c>
      <c r="O67" s="2" t="inlineStr"/>
      <c r="P67" s="2" t="inlineStr">
        <is>
          <t>Environment; green</t>
        </is>
      </c>
      <c r="Q67" s="2" t="inlineStr"/>
      <c r="R67" s="2" t="inlineStr"/>
    </row>
    <row r="68">
      <c r="A68" s="2" t="inlineStr">
        <is>
          <t>2026-05</t>
        </is>
      </c>
      <c r="B68" s="4" t="n">
        <v>46169</v>
      </c>
      <c r="C68" s="2" t="inlineStr">
        <is>
          <t>Post-withdrawal</t>
        </is>
      </c>
      <c r="D68" s="2" t="inlineStr">
        <is>
          <t>Canada</t>
        </is>
      </c>
      <c r="E68" s="2" t="inlineStr">
        <is>
          <t>Ministry of Environment</t>
        </is>
      </c>
      <c r="F68" s="2" t="inlineStr">
        <is>
          <t>canada.ca</t>
        </is>
      </c>
      <c r="G68" s="2" t="inlineStr">
        <is>
          <t>Environment and Climate Change Canada launches AI weather model to strengthen forecasting for severe weather</t>
        </is>
      </c>
      <c r="H68" s="5" t="inlineStr">
        <is>
          <t>https://www.canada.ca/en/environment-climate-change/news/2026/05/environment-and-climate-change-canada-launches-ai-weather-model-to-strengthen-forecasting-for-severe-weather.html</t>
        </is>
      </c>
      <c r="I68" s="2" t="inlineStr">
        <is>
          <t>Climate; Climate Change; Environment; Temperature; energy</t>
        </is>
      </c>
      <c r="J68" s="2" t="n">
        <v>5</v>
      </c>
      <c r="K68" s="2" t="inlineStr">
        <is>
          <t>Yes</t>
        </is>
      </c>
      <c r="L68" s="2" t="inlineStr"/>
      <c r="M68" s="2" t="inlineStr">
        <is>
          <t>page metadata</t>
        </is>
      </c>
      <c r="N68" s="2" t="n">
        <v>602</v>
      </c>
      <c r="O68" s="2" t="inlineStr"/>
      <c r="P68" s="2" t="inlineStr">
        <is>
          <t>Climate; Climate Change; Environment; Temperature; energy</t>
        </is>
      </c>
      <c r="Q68" s="2" t="inlineStr"/>
      <c r="R68" s="2" t="inlineStr"/>
    </row>
    <row r="69">
      <c r="A69" s="2" t="inlineStr">
        <is>
          <t>2026-05</t>
        </is>
      </c>
      <c r="B69" s="4" t="n">
        <v>46170</v>
      </c>
      <c r="C69" s="2" t="inlineStr">
        <is>
          <t>Post-withdrawal</t>
        </is>
      </c>
      <c r="D69" s="2" t="inlineStr">
        <is>
          <t>UK</t>
        </is>
      </c>
      <c r="E69" s="2" t="inlineStr">
        <is>
          <t>Ministry of Environment</t>
        </is>
      </c>
      <c r="F69" s="2" t="inlineStr">
        <is>
          <t>gov.uk</t>
        </is>
      </c>
      <c r="G69" s="2" t="inlineStr">
        <is>
          <t>Consultation opens on Drax Power permit draft decision</t>
        </is>
      </c>
      <c r="H69" s="5" t="inlineStr">
        <is>
          <t>https://www.gov.uk/government/news/consultation-opens-on-drax-power-permit-draft-decision</t>
        </is>
      </c>
      <c r="I69" s="2" t="inlineStr">
        <is>
          <t>Environment; carbon; emissions</t>
        </is>
      </c>
      <c r="J69" s="2" t="n">
        <v>3</v>
      </c>
      <c r="K69" s="2" t="inlineStr">
        <is>
          <t>Yes</t>
        </is>
      </c>
      <c r="L69" s="2" t="inlineStr"/>
      <c r="M69" s="2" t="inlineStr">
        <is>
          <t>GOV.UK API</t>
        </is>
      </c>
      <c r="N69" s="2" t="n">
        <v>599</v>
      </c>
      <c r="O69" s="2" t="inlineStr"/>
      <c r="P69" s="2" t="inlineStr">
        <is>
          <t>Environment; carbon; emissions</t>
        </is>
      </c>
      <c r="Q69" s="2" t="inlineStr"/>
      <c r="R69" s="2" t="inlineStr"/>
    </row>
    <row r="70">
      <c r="A70" s="2" t="inlineStr">
        <is>
          <t>2026-05</t>
        </is>
      </c>
      <c r="B70" s="4" t="n">
        <v>46171</v>
      </c>
      <c r="C70" s="2" t="inlineStr">
        <is>
          <t>Post-withdrawal</t>
        </is>
      </c>
      <c r="D70" s="2" t="inlineStr">
        <is>
          <t>China</t>
        </is>
      </c>
      <c r="E70" s="2" t="inlineStr">
        <is>
          <t>Govt press release</t>
        </is>
      </c>
      <c r="F70" s="2" t="inlineStr">
        <is>
          <t>english.www.gov.cn</t>
        </is>
      </c>
      <c r="G70" s="2" t="inlineStr">
        <is>
          <t>World Intelligence Expo highlights AI-industry integration, global collaboration</t>
        </is>
      </c>
      <c r="H70" s="5" t="inlineStr">
        <is>
          <t>https://english.www.gov.cn/news/202605/29/content_WS6a18dbeac6d00ca5f9a0b502.html</t>
        </is>
      </c>
      <c r="I70" s="2" t="inlineStr">
        <is>
          <t>Environment</t>
        </is>
      </c>
      <c r="J70" s="2" t="n">
        <v>1</v>
      </c>
      <c r="K70" s="2" t="inlineStr">
        <is>
          <t>No</t>
        </is>
      </c>
      <c r="L70" s="2" t="inlineStr"/>
      <c r="M70" s="2" t="inlineStr">
        <is>
          <t>url</t>
        </is>
      </c>
      <c r="N70" s="2" t="n">
        <v>528</v>
      </c>
      <c r="O70" s="2" t="inlineStr"/>
      <c r="P70" s="2" t="inlineStr">
        <is>
          <t>Environment</t>
        </is>
      </c>
      <c r="Q70" s="2" t="inlineStr"/>
      <c r="R70" s="2" t="inlineStr"/>
    </row>
    <row r="71">
      <c r="A71" s="2" t="inlineStr">
        <is>
          <t>2026-05</t>
        </is>
      </c>
      <c r="B71" s="4" t="n">
        <v>46173</v>
      </c>
      <c r="C71" s="2" t="inlineStr">
        <is>
          <t>Post-withdrawal</t>
        </is>
      </c>
      <c r="D71" s="2" t="inlineStr">
        <is>
          <t>China</t>
        </is>
      </c>
      <c r="E71" s="2" t="inlineStr">
        <is>
          <t>Govt press release</t>
        </is>
      </c>
      <c r="F71" s="2" t="inlineStr">
        <is>
          <t>english.www.gov.cn</t>
        </is>
      </c>
      <c r="G71" s="2" t="inlineStr">
        <is>
          <t>Canada, China vow to strengthen bilateral ties, uphold multilateralism</t>
        </is>
      </c>
      <c r="H71" s="5" t="inlineStr">
        <is>
          <t>https://english.www.gov.cn/news/202605/31/content_WS6a1b926fc6d00ca5f9a0b580.html</t>
        </is>
      </c>
      <c r="I71" s="2" t="inlineStr">
        <is>
          <t>energy</t>
        </is>
      </c>
      <c r="J71" s="2" t="n">
        <v>1</v>
      </c>
      <c r="K71" s="2" t="inlineStr">
        <is>
          <t>No</t>
        </is>
      </c>
      <c r="L71" s="2" t="inlineStr"/>
      <c r="M71" s="2" t="inlineStr">
        <is>
          <t>url</t>
        </is>
      </c>
      <c r="N71" s="2" t="n">
        <v>207</v>
      </c>
      <c r="O71" s="2" t="inlineStr"/>
      <c r="P71" s="2" t="inlineStr">
        <is>
          <t>energy</t>
        </is>
      </c>
      <c r="Q71" s="2" t="inlineStr"/>
      <c r="R71" s="2" t="inlineStr"/>
    </row>
    <row r="72">
      <c r="A72" s="2" t="inlineStr">
        <is>
          <t>2026-05</t>
        </is>
      </c>
      <c r="B72" s="4" t="n">
        <v>46173</v>
      </c>
      <c r="C72" s="2" t="inlineStr">
        <is>
          <t>Post-withdrawal</t>
        </is>
      </c>
      <c r="D72" s="2" t="inlineStr">
        <is>
          <t>China</t>
        </is>
      </c>
      <c r="E72" s="2" t="inlineStr">
        <is>
          <t>Govt press release</t>
        </is>
      </c>
      <c r="F72" s="2" t="inlineStr">
        <is>
          <t>english.www.gov.cn</t>
        </is>
      </c>
      <c r="G72" s="2" t="inlineStr">
        <is>
          <t>Xi's article on developing future industries to be published</t>
        </is>
      </c>
      <c r="H72" s="5" t="inlineStr">
        <is>
          <t>https://english.www.gov.cn/news/202605/31/content_WS6a1bf75ac6d00ca5f9a0b58c.html</t>
        </is>
      </c>
      <c r="I72" s="2" t="inlineStr">
        <is>
          <t>Environment</t>
        </is>
      </c>
      <c r="J72" s="2" t="n">
        <v>1</v>
      </c>
      <c r="K72" s="2" t="inlineStr">
        <is>
          <t>No</t>
        </is>
      </c>
      <c r="L72" s="2" t="inlineStr"/>
      <c r="M72" s="2" t="inlineStr">
        <is>
          <t>url</t>
        </is>
      </c>
      <c r="N72" s="2" t="n">
        <v>301</v>
      </c>
      <c r="O72" s="2" t="inlineStr"/>
      <c r="P72" s="2" t="inlineStr">
        <is>
          <t>Environment</t>
        </is>
      </c>
      <c r="Q72" s="2" t="inlineStr"/>
      <c r="R72" s="2" t="inlineStr"/>
    </row>
  </sheetData>
  <autoFilter ref="A1:R72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6" customWidth="1" min="4" max="4"/>
    <col width="22" customWidth="1" min="5" max="5"/>
    <col width="26" customWidth="1" min="6" max="6"/>
    <col width="60" customWidth="1" min="7" max="7"/>
    <col width="50" customWidth="1" min="8" max="8"/>
    <col width="45" customWidth="1" min="9" max="9"/>
    <col width="10" customWidth="1" min="10" max="10"/>
    <col width="10" customWidth="1" min="11" max="11"/>
    <col width="18" customWidth="1" min="12" max="12"/>
    <col width="16" customWidth="1" min="13" max="13"/>
    <col width="10" customWidth="1" min="14" max="14"/>
    <col width="28" customWidth="1" min="15" max="15"/>
    <col width="28" customWidth="1" min="16" max="16"/>
    <col width="28" customWidth="1" min="17" max="17"/>
    <col width="28" customWidth="1" min="18" max="18"/>
  </cols>
  <sheetData>
    <row r="1">
      <c r="A1" s="1" t="inlineStr">
        <is>
          <t>Month</t>
        </is>
      </c>
      <c r="B1" s="1" t="inlineStr">
        <is>
          <t>Date</t>
        </is>
      </c>
      <c r="C1" s="1" t="inlineStr">
        <is>
          <t>Period</t>
        </is>
      </c>
      <c r="D1" s="1" t="inlineStr">
        <is>
          <t>Country</t>
        </is>
      </c>
      <c r="E1" s="1" t="inlineStr">
        <is>
          <t>Source Type</t>
        </is>
      </c>
      <c r="F1" s="1" t="inlineStr">
        <is>
          <t>Site</t>
        </is>
      </c>
      <c r="G1" s="1" t="inlineStr">
        <is>
          <t>Title</t>
        </is>
      </c>
      <c r="H1" s="1" t="inlineStr">
        <is>
          <t>URL</t>
        </is>
      </c>
      <c r="I1" s="1" t="inlineStr">
        <is>
          <t>Matched Keywords</t>
        </is>
      </c>
      <c r="J1" s="1" t="inlineStr">
        <is>
          <t>Keyword Count</t>
        </is>
      </c>
      <c r="K1" s="1" t="inlineStr">
        <is>
          <t>Strong Match</t>
        </is>
      </c>
      <c r="L1" s="1" t="inlineStr">
        <is>
          <t>Minister/Person Country</t>
        </is>
      </c>
      <c r="M1" s="1" t="inlineStr">
        <is>
          <t>Date Source</t>
        </is>
      </c>
      <c r="N1" s="1" t="inlineStr">
        <is>
          <t>Word Count</t>
        </is>
      </c>
      <c r="O1" s="1" t="inlineStr">
        <is>
          <t>Regulatory Bodies hits</t>
        </is>
      </c>
      <c r="P1" s="1" t="inlineStr">
        <is>
          <t>Adjective Indicators hits</t>
        </is>
      </c>
      <c r="Q1" s="1" t="inlineStr">
        <is>
          <t>Organizations/Alliances hits</t>
        </is>
      </c>
      <c r="R1" s="1" t="inlineStr">
        <is>
          <t>Event/Person hits</t>
        </is>
      </c>
    </row>
    <row r="2">
      <c r="A2" s="2" t="inlineStr">
        <is>
          <t>2024-01</t>
        </is>
      </c>
      <c r="B2" s="4" t="n">
        <v>45298</v>
      </c>
      <c r="C2" s="2" t="inlineStr">
        <is>
          <t>Pre-withdrawal</t>
        </is>
      </c>
      <c r="D2" s="2" t="inlineStr">
        <is>
          <t>Hong Kong</t>
        </is>
      </c>
      <c r="E2" s="2" t="inlineStr">
        <is>
          <t>Govt press release</t>
        </is>
      </c>
      <c r="F2" s="2" t="inlineStr">
        <is>
          <t>info.gov.hk</t>
        </is>
      </c>
      <c r="G2" s="2" t="inlineStr">
        <is>
          <t>HKETO, Brussels supports Belgian sports event and promotes Hong Kong as a green and dynamic city (with photos)</t>
        </is>
      </c>
      <c r="H2" s="5" t="inlineStr">
        <is>
          <t>https://www.info.gov.hk/gia/general/202401/07/P2024010500085.htm</t>
        </is>
      </c>
      <c r="I2" s="2" t="inlineStr">
        <is>
          <t>green</t>
        </is>
      </c>
      <c r="J2" s="2" t="n">
        <v>1</v>
      </c>
      <c r="K2" s="2" t="inlineStr">
        <is>
          <t>No</t>
        </is>
      </c>
      <c r="L2" s="2" t="inlineStr"/>
      <c r="M2" s="2" t="inlineStr">
        <is>
          <t>url</t>
        </is>
      </c>
      <c r="N2" s="2" t="n">
        <v>215</v>
      </c>
      <c r="O2" s="2" t="inlineStr"/>
      <c r="P2" s="2" t="inlineStr">
        <is>
          <t>green</t>
        </is>
      </c>
      <c r="Q2" s="2" t="inlineStr"/>
      <c r="R2" s="2" t="inlineStr"/>
    </row>
    <row r="3">
      <c r="A3" s="2" t="inlineStr">
        <is>
          <t>2024-01</t>
        </is>
      </c>
      <c r="B3" s="4" t="n">
        <v>45307</v>
      </c>
      <c r="C3" s="2" t="inlineStr">
        <is>
          <t>Pre-withdrawal</t>
        </is>
      </c>
      <c r="D3" s="2" t="inlineStr">
        <is>
          <t>New Zealand</t>
        </is>
      </c>
      <c r="E3" s="2" t="inlineStr">
        <is>
          <t>Ministry of Environment</t>
        </is>
      </c>
      <c r="F3" s="2" t="inlineStr">
        <is>
          <t>environment.govt.nz</t>
        </is>
      </c>
      <c r="G3" s="2" t="inlineStr">
        <is>
          <t>Key initiatives</t>
        </is>
      </c>
      <c r="H3" s="5" t="inlineStr">
        <is>
          <t>https://environment.govt.nz/what-government-is-doing/key-initiatives/</t>
        </is>
      </c>
      <c r="I3" s="2" t="inlineStr">
        <is>
          <t>Environment</t>
        </is>
      </c>
      <c r="J3" s="2" t="n">
        <v>1</v>
      </c>
      <c r="K3" s="2" t="inlineStr">
        <is>
          <t>No</t>
        </is>
      </c>
      <c r="L3" s="2" t="inlineStr"/>
      <c r="M3" s="2" t="inlineStr">
        <is>
          <t>page metadata</t>
        </is>
      </c>
      <c r="N3" s="2" t="n">
        <v>128</v>
      </c>
      <c r="O3" s="2" t="inlineStr"/>
      <c r="P3" s="2" t="inlineStr">
        <is>
          <t>Environment</t>
        </is>
      </c>
      <c r="Q3" s="2" t="inlineStr"/>
      <c r="R3" s="2" t="inlineStr"/>
    </row>
    <row r="4">
      <c r="A4" s="2" t="inlineStr">
        <is>
          <t>2024-01</t>
        </is>
      </c>
      <c r="B4" s="4" t="n">
        <v>45308</v>
      </c>
      <c r="C4" s="2" t="inlineStr">
        <is>
          <t>Pre-withdrawal</t>
        </is>
      </c>
      <c r="D4" s="2" t="inlineStr">
        <is>
          <t>Hong Kong</t>
        </is>
      </c>
      <c r="E4" s="2" t="inlineStr">
        <is>
          <t>Govt press release</t>
        </is>
      </c>
      <c r="F4" s="2" t="inlineStr">
        <is>
          <t>info.gov.hk</t>
        </is>
      </c>
      <c r="G4" s="2" t="inlineStr">
        <is>
          <t>35th Meeting of APEC Expert Group on Energy Data and Analysis held in Hong Kong (with photos)</t>
        </is>
      </c>
      <c r="H4" s="5" t="inlineStr">
        <is>
          <t>https://www.info.gov.hk/gia/general/202401/17/P2024011700283.htm</t>
        </is>
      </c>
      <c r="I4" s="2" t="inlineStr">
        <is>
          <t>Climate; Climate Change; Environment; Tse Chin-Wan; carbon; carbon emissions; emissions; energy; transition</t>
        </is>
      </c>
      <c r="J4" s="2" t="n">
        <v>9</v>
      </c>
      <c r="K4" s="2" t="inlineStr">
        <is>
          <t>Yes</t>
        </is>
      </c>
      <c r="L4" s="2" t="inlineStr">
        <is>
          <t>Hong Kong</t>
        </is>
      </c>
      <c r="M4" s="2" t="inlineStr">
        <is>
          <t>url</t>
        </is>
      </c>
      <c r="N4" s="2" t="n">
        <v>444</v>
      </c>
      <c r="O4" s="2" t="inlineStr"/>
      <c r="P4" s="2" t="inlineStr">
        <is>
          <t>Climate; Climate Change; Environment; carbon; carbon emissions; emissions; energy; transition</t>
        </is>
      </c>
      <c r="Q4" s="2" t="inlineStr"/>
      <c r="R4" s="2" t="inlineStr">
        <is>
          <t>Tse Chin-Wan</t>
        </is>
      </c>
    </row>
    <row r="5">
      <c r="A5" s="2" t="inlineStr">
        <is>
          <t>2024-01</t>
        </is>
      </c>
      <c r="B5" s="4" t="n">
        <v>45310</v>
      </c>
      <c r="C5" s="2" t="inlineStr">
        <is>
          <t>Pre-withdrawal</t>
        </is>
      </c>
      <c r="D5" s="2" t="inlineStr">
        <is>
          <t>Hong Kong</t>
        </is>
      </c>
      <c r="E5" s="2" t="inlineStr">
        <is>
          <t>Govt press release</t>
        </is>
      </c>
      <c r="F5" s="2" t="inlineStr">
        <is>
          <t>info.gov.hk</t>
        </is>
      </c>
      <c r="G5" s="2" t="inlineStr">
        <is>
          <t>Prefabrication of modules for waste-to-energy facility IÂ·PARK1 completed (with photos)</t>
        </is>
      </c>
      <c r="H5" s="5" t="inlineStr">
        <is>
          <t>https://www.info.gov.hk/gia/general/202401/19/P2024011900367.htm</t>
        </is>
      </c>
      <c r="I5" s="2" t="inlineStr">
        <is>
          <t>Climate; carbon; energy</t>
        </is>
      </c>
      <c r="J5" s="2" t="n">
        <v>3</v>
      </c>
      <c r="K5" s="2" t="inlineStr">
        <is>
          <t>Yes</t>
        </is>
      </c>
      <c r="L5" s="2" t="inlineStr"/>
      <c r="M5" s="2" t="inlineStr">
        <is>
          <t>url</t>
        </is>
      </c>
      <c r="N5" s="2" t="n">
        <v>383</v>
      </c>
      <c r="O5" s="2" t="inlineStr"/>
      <c r="P5" s="2" t="inlineStr">
        <is>
          <t>Climate; carbon; energy</t>
        </is>
      </c>
      <c r="Q5" s="2" t="inlineStr"/>
      <c r="R5" s="2" t="inlineStr"/>
    </row>
    <row r="6">
      <c r="A6" s="2" t="inlineStr">
        <is>
          <t>2024-01</t>
        </is>
      </c>
      <c r="B6" s="4" t="n">
        <v>45310</v>
      </c>
      <c r="C6" s="2" t="inlineStr">
        <is>
          <t>Pre-withdrawal</t>
        </is>
      </c>
      <c r="D6" s="2" t="inlineStr">
        <is>
          <t>Hong Kong</t>
        </is>
      </c>
      <c r="E6" s="2" t="inlineStr">
        <is>
          <t>Govt press release</t>
        </is>
      </c>
      <c r="F6" s="2" t="inlineStr">
        <is>
          <t>info.gov.hk</t>
        </is>
      </c>
      <c r="G6" s="2" t="inlineStr">
        <is>
          <t>Public should take precautionary measures against carbon monoxide poisoning</t>
        </is>
      </c>
      <c r="H6" s="5" t="inlineStr">
        <is>
          <t>https://www.info.gov.hk/gia/general/202401/19/P2024011900709.htm</t>
        </is>
      </c>
      <c r="I6" s="2" t="inlineStr">
        <is>
          <t>carbon</t>
        </is>
      </c>
      <c r="J6" s="2" t="n">
        <v>1</v>
      </c>
      <c r="K6" s="2" t="inlineStr">
        <is>
          <t>No</t>
        </is>
      </c>
      <c r="L6" s="2" t="inlineStr"/>
      <c r="M6" s="2" t="inlineStr">
        <is>
          <t>url</t>
        </is>
      </c>
      <c r="N6" s="2" t="n">
        <v>412</v>
      </c>
      <c r="O6" s="2" t="inlineStr"/>
      <c r="P6" s="2" t="inlineStr">
        <is>
          <t>carbon</t>
        </is>
      </c>
      <c r="Q6" s="2" t="inlineStr"/>
      <c r="R6" s="2" t="inlineStr"/>
    </row>
    <row r="7">
      <c r="A7" s="2" t="inlineStr">
        <is>
          <t>2024-01</t>
        </is>
      </c>
      <c r="B7" s="4" t="n">
        <v>45315</v>
      </c>
      <c r="C7" s="2" t="inlineStr">
        <is>
          <t>Pre-withdrawal</t>
        </is>
      </c>
      <c r="D7" s="2" t="inlineStr">
        <is>
          <t>Hong Kong</t>
        </is>
      </c>
      <c r="E7" s="2" t="inlineStr">
        <is>
          <t>Govt press release</t>
        </is>
      </c>
      <c r="F7" s="2" t="inlineStr">
        <is>
          <t>info.gov.hk</t>
        </is>
      </c>
      <c r="G7" s="2" t="inlineStr">
        <is>
          <t>Asian Financial Forum explores strategies on sustainable economic development and opportunities of multilateral co-operation (with photos/videos)</t>
        </is>
      </c>
      <c r="H7" s="5" t="inlineStr">
        <is>
          <t>https://www.info.gov.hk/gia/general/202401/24/P2024012400767.htm</t>
        </is>
      </c>
      <c r="I7" s="2" t="inlineStr">
        <is>
          <t>Climate; Environment; Green Finance; Sustainability; Sustainable Economic Development; green; transition</t>
        </is>
      </c>
      <c r="J7" s="2" t="n">
        <v>7</v>
      </c>
      <c r="K7" s="2" t="inlineStr">
        <is>
          <t>Yes</t>
        </is>
      </c>
      <c r="L7" s="2" t="inlineStr"/>
      <c r="M7" s="2" t="inlineStr">
        <is>
          <t>url</t>
        </is>
      </c>
      <c r="N7" s="2" t="n">
        <v>1391</v>
      </c>
      <c r="O7" s="2" t="inlineStr"/>
      <c r="P7" s="2" t="inlineStr">
        <is>
          <t>Climate; Environment; Green Finance; Sustainability; Sustainable Economic Development; green; transition</t>
        </is>
      </c>
      <c r="Q7" s="2" t="inlineStr"/>
      <c r="R7" s="2" t="inlineStr"/>
    </row>
    <row r="8">
      <c r="A8" s="2" t="inlineStr">
        <is>
          <t>2024-01</t>
        </is>
      </c>
      <c r="B8" s="4" t="n">
        <v>45315</v>
      </c>
      <c r="C8" s="2" t="inlineStr">
        <is>
          <t>Pre-withdrawal</t>
        </is>
      </c>
      <c r="D8" s="2" t="inlineStr">
        <is>
          <t>Hong Kong</t>
        </is>
      </c>
      <c r="E8" s="2" t="inlineStr">
        <is>
          <t>Govt press release</t>
        </is>
      </c>
      <c r="F8" s="2" t="inlineStr">
        <is>
          <t>info.gov.hk</t>
        </is>
      </c>
      <c r="G8" s="2" t="inlineStr">
        <is>
          <t>LCQ19: Modern waste-to-energy incinerators</t>
        </is>
      </c>
      <c r="H8" s="5" t="inlineStr">
        <is>
          <t>https://www.info.gov.hk/gia/general/202401/24/P2024012400274.htm</t>
        </is>
      </c>
      <c r="I8" s="2" t="inlineStr">
        <is>
          <t>Temperature; emissions; energy; green; renewable energy</t>
        </is>
      </c>
      <c r="J8" s="2" t="n">
        <v>5</v>
      </c>
      <c r="K8" s="2" t="inlineStr">
        <is>
          <t>Yes</t>
        </is>
      </c>
      <c r="L8" s="2" t="inlineStr"/>
      <c r="M8" s="2" t="inlineStr">
        <is>
          <t>url</t>
        </is>
      </c>
      <c r="N8" s="2" t="n">
        <v>1159</v>
      </c>
      <c r="O8" s="2" t="inlineStr"/>
      <c r="P8" s="2" t="inlineStr">
        <is>
          <t>Temperature; emissions; energy; green; renewable energy</t>
        </is>
      </c>
      <c r="Q8" s="2" t="inlineStr"/>
      <c r="R8" s="2" t="inlineStr"/>
    </row>
    <row r="9">
      <c r="A9" s="2" t="inlineStr">
        <is>
          <t>2024-01</t>
        </is>
      </c>
      <c r="B9" s="4" t="n">
        <v>45316</v>
      </c>
      <c r="C9" s="2" t="inlineStr">
        <is>
          <t>Pre-withdrawal</t>
        </is>
      </c>
      <c r="D9" s="2" t="inlineStr">
        <is>
          <t>Hong Kong</t>
        </is>
      </c>
      <c r="E9" s="2" t="inlineStr">
        <is>
          <t>Govt press release</t>
        </is>
      </c>
      <c r="F9" s="2" t="inlineStr">
        <is>
          <t>info.gov.hk</t>
        </is>
      </c>
      <c r="G9" s="2" t="inlineStr">
        <is>
          <t>Opening remarks by Permanent Secretary for Financial Services and the Treasury (Financial Services) at Asian Financial Forum Thematic Workshop on Hong Kong - Financing Asia's Real Economy Net-Zero Transition (English only) (with photos)</t>
        </is>
      </c>
      <c r="H9" s="5" t="inlineStr">
        <is>
          <t>https://www.info.gov.hk/gia/general/202401/25/P2024012500654.htm</t>
        </is>
      </c>
      <c r="I9" s="2" t="inlineStr">
        <is>
          <t>COP; Climate; Climate Change; ESG; Environment; Green Finance; ISSB; Sustainability; Sustainability Reporting; Temperature; carbon; carbon credits; emissions; green; greenhouse gas; transition</t>
        </is>
      </c>
      <c r="J9" s="2" t="n">
        <v>16</v>
      </c>
      <c r="K9" s="2" t="inlineStr">
        <is>
          <t>Yes</t>
        </is>
      </c>
      <c r="L9" s="2" t="inlineStr"/>
      <c r="M9" s="2" t="inlineStr">
        <is>
          <t>url</t>
        </is>
      </c>
      <c r="N9" s="2" t="n">
        <v>1907</v>
      </c>
      <c r="O9" s="2" t="inlineStr">
        <is>
          <t>ISSB</t>
        </is>
      </c>
      <c r="P9" s="2" t="inlineStr">
        <is>
          <t>Climate; Climate Change; ESG; Environment; Green Finance; Sustainability; Sustainability Reporting; Temperature; carbon; carbon credits; emissions; green; greenhouse gas; transition</t>
        </is>
      </c>
      <c r="Q9" s="2" t="inlineStr">
        <is>
          <t>COP</t>
        </is>
      </c>
      <c r="R9" s="2" t="inlineStr"/>
    </row>
    <row r="10">
      <c r="A10" s="2" t="inlineStr">
        <is>
          <t>2024-01</t>
        </is>
      </c>
      <c r="B10" s="4" t="n">
        <v>45317</v>
      </c>
      <c r="C10" s="2" t="inlineStr">
        <is>
          <t>Pre-withdrawal</t>
        </is>
      </c>
      <c r="D10" s="2" t="inlineStr">
        <is>
          <t>Hong Kong</t>
        </is>
      </c>
      <c r="E10" s="2" t="inlineStr">
        <is>
          <t>Govt press release</t>
        </is>
      </c>
      <c r="F10" s="2" t="inlineStr">
        <is>
          <t>info.gov.hk</t>
        </is>
      </c>
      <c r="G10" s="2" t="inlineStr">
        <is>
          <t>Statement by Environment and Conservation Fund Committee on implementation of municipal solid waste charging scheme in Hong Kong</t>
        </is>
      </c>
      <c r="H10" s="5" t="inlineStr">
        <is>
          <t>https://www.info.gov.hk/gia/general/202401/26/P2024012600638.htm</t>
        </is>
      </c>
      <c r="I10" s="2" t="inlineStr">
        <is>
          <t>Environment</t>
        </is>
      </c>
      <c r="J10" s="2" t="n">
        <v>1</v>
      </c>
      <c r="K10" s="2" t="inlineStr">
        <is>
          <t>No</t>
        </is>
      </c>
      <c r="L10" s="2" t="inlineStr"/>
      <c r="M10" s="2" t="inlineStr">
        <is>
          <t>url</t>
        </is>
      </c>
      <c r="N10" s="2" t="n">
        <v>387</v>
      </c>
      <c r="O10" s="2" t="inlineStr"/>
      <c r="P10" s="2" t="inlineStr">
        <is>
          <t>Environment</t>
        </is>
      </c>
      <c r="Q10" s="2" t="inlineStr"/>
      <c r="R10" s="2" t="inlineStr"/>
    </row>
    <row r="11">
      <c r="A11" s="2" t="inlineStr">
        <is>
          <t>2024-01</t>
        </is>
      </c>
      <c r="B11" s="4" t="n">
        <v>45320</v>
      </c>
      <c r="C11" s="2" t="inlineStr">
        <is>
          <t>Pre-withdrawal</t>
        </is>
      </c>
      <c r="D11" s="2" t="inlineStr">
        <is>
          <t>Hong Kong</t>
        </is>
      </c>
      <c r="E11" s="2" t="inlineStr">
        <is>
          <t>Govt press release</t>
        </is>
      </c>
      <c r="F11" s="2" t="inlineStr">
        <is>
          <t>info.gov.hk</t>
        </is>
      </c>
      <c r="G11" s="2" t="inlineStr">
        <is>
          <t>Public should take precautionary measures against carbon monoxide poisoning</t>
        </is>
      </c>
      <c r="H11" s="5" t="inlineStr">
        <is>
          <t>https://www.info.gov.hk/gia/general/202401/29/P2024012900732.htm</t>
        </is>
      </c>
      <c r="I11" s="2" t="inlineStr">
        <is>
          <t>carbon</t>
        </is>
      </c>
      <c r="J11" s="2" t="n">
        <v>1</v>
      </c>
      <c r="K11" s="2" t="inlineStr">
        <is>
          <t>No</t>
        </is>
      </c>
      <c r="L11" s="2" t="inlineStr"/>
      <c r="M11" s="2" t="inlineStr">
        <is>
          <t>url</t>
        </is>
      </c>
      <c r="N11" s="2" t="n">
        <v>393</v>
      </c>
      <c r="O11" s="2" t="inlineStr"/>
      <c r="P11" s="2" t="inlineStr">
        <is>
          <t>carbon</t>
        </is>
      </c>
      <c r="Q11" s="2" t="inlineStr"/>
      <c r="R11" s="2" t="inlineStr"/>
    </row>
    <row r="12">
      <c r="A12" s="2" t="inlineStr">
        <is>
          <t>2024-01</t>
        </is>
      </c>
      <c r="B12" s="4" t="n">
        <v>45322</v>
      </c>
      <c r="C12" s="2" t="inlineStr">
        <is>
          <t>Pre-withdrawal</t>
        </is>
      </c>
      <c r="D12" s="2" t="inlineStr">
        <is>
          <t>Hong Kong</t>
        </is>
      </c>
      <c r="E12" s="2" t="inlineStr">
        <is>
          <t>Govt press release</t>
        </is>
      </c>
      <c r="F12" s="2" t="inlineStr">
        <is>
          <t>info.gov.hk</t>
        </is>
      </c>
      <c r="G12" s="2" t="inlineStr">
        <is>
          <t>Statement by Council for Carbon Neutrality and Sustainable Development on implementation of municipal solid waste charging scheme in Hong Kong</t>
        </is>
      </c>
      <c r="H12" s="5" t="inlineStr">
        <is>
          <t>https://www.info.gov.hk/gia/general/202401/31/P2024013100350.htm</t>
        </is>
      </c>
      <c r="I12" s="2" t="inlineStr">
        <is>
          <t>carbon; carbon emissions; emissions; energy; green</t>
        </is>
      </c>
      <c r="J12" s="2" t="n">
        <v>5</v>
      </c>
      <c r="K12" s="2" t="inlineStr">
        <is>
          <t>Yes</t>
        </is>
      </c>
      <c r="L12" s="2" t="inlineStr"/>
      <c r="M12" s="2" t="inlineStr">
        <is>
          <t>url</t>
        </is>
      </c>
      <c r="N12" s="2" t="n">
        <v>356</v>
      </c>
      <c r="O12" s="2" t="inlineStr"/>
      <c r="P12" s="2" t="inlineStr">
        <is>
          <t>carbon; carbon emissions; emissions; energy; green</t>
        </is>
      </c>
      <c r="Q12" s="2" t="inlineStr"/>
      <c r="R12" s="2" t="inlineStr"/>
    </row>
  </sheetData>
  <autoFilter ref="A1:R12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6" customWidth="1" min="4" max="4"/>
    <col width="22" customWidth="1" min="5" max="5"/>
    <col width="26" customWidth="1" min="6" max="6"/>
    <col width="60" customWidth="1" min="7" max="7"/>
    <col width="50" customWidth="1" min="8" max="8"/>
    <col width="45" customWidth="1" min="9" max="9"/>
    <col width="10" customWidth="1" min="10" max="10"/>
    <col width="10" customWidth="1" min="11" max="11"/>
    <col width="18" customWidth="1" min="12" max="12"/>
    <col width="16" customWidth="1" min="13" max="13"/>
    <col width="10" customWidth="1" min="14" max="14"/>
    <col width="28" customWidth="1" min="15" max="15"/>
    <col width="28" customWidth="1" min="16" max="16"/>
    <col width="28" customWidth="1" min="17" max="17"/>
    <col width="28" customWidth="1" min="18" max="18"/>
  </cols>
  <sheetData>
    <row r="1">
      <c r="A1" s="1" t="inlineStr">
        <is>
          <t>Month</t>
        </is>
      </c>
      <c r="B1" s="1" t="inlineStr">
        <is>
          <t>Date</t>
        </is>
      </c>
      <c r="C1" s="1" t="inlineStr">
        <is>
          <t>Period</t>
        </is>
      </c>
      <c r="D1" s="1" t="inlineStr">
        <is>
          <t>Country</t>
        </is>
      </c>
      <c r="E1" s="1" t="inlineStr">
        <is>
          <t>Source Type</t>
        </is>
      </c>
      <c r="F1" s="1" t="inlineStr">
        <is>
          <t>Site</t>
        </is>
      </c>
      <c r="G1" s="1" t="inlineStr">
        <is>
          <t>Title</t>
        </is>
      </c>
      <c r="H1" s="1" t="inlineStr">
        <is>
          <t>URL</t>
        </is>
      </c>
      <c r="I1" s="1" t="inlineStr">
        <is>
          <t>Matched Keywords</t>
        </is>
      </c>
      <c r="J1" s="1" t="inlineStr">
        <is>
          <t>Keyword Count</t>
        </is>
      </c>
      <c r="K1" s="1" t="inlineStr">
        <is>
          <t>Strong Match</t>
        </is>
      </c>
      <c r="L1" s="1" t="inlineStr">
        <is>
          <t>Minister/Person Country</t>
        </is>
      </c>
      <c r="M1" s="1" t="inlineStr">
        <is>
          <t>Date Source</t>
        </is>
      </c>
      <c r="N1" s="1" t="inlineStr">
        <is>
          <t>Word Count</t>
        </is>
      </c>
      <c r="O1" s="1" t="inlineStr">
        <is>
          <t>Regulatory Bodies hits</t>
        </is>
      </c>
      <c r="P1" s="1" t="inlineStr">
        <is>
          <t>Adjective Indicators hits</t>
        </is>
      </c>
      <c r="Q1" s="1" t="inlineStr">
        <is>
          <t>Organizations/Alliances hits</t>
        </is>
      </c>
      <c r="R1" s="1" t="inlineStr">
        <is>
          <t>Event/Person hits</t>
        </is>
      </c>
    </row>
    <row r="2">
      <c r="A2" s="2" t="inlineStr">
        <is>
          <t>2024-02</t>
        </is>
      </c>
      <c r="B2" s="4" t="n">
        <v>45324</v>
      </c>
      <c r="C2" s="2" t="inlineStr">
        <is>
          <t>Pre-withdrawal</t>
        </is>
      </c>
      <c r="D2" s="2" t="inlineStr">
        <is>
          <t>Hong Kong</t>
        </is>
      </c>
      <c r="E2" s="2" t="inlineStr">
        <is>
          <t>Govt press release</t>
        </is>
      </c>
      <c r="F2" s="2" t="inlineStr">
        <is>
          <t>info.gov.hk</t>
        </is>
      </c>
      <c r="G2" s="2" t="inlineStr">
        <is>
          <t>Public should take precautionary measures against carbon monoxide poisoning</t>
        </is>
      </c>
      <c r="H2" s="5" t="inlineStr">
        <is>
          <t>https://www.info.gov.hk/gia/general/202402/02/P2024020200552.htm</t>
        </is>
      </c>
      <c r="I2" s="2" t="inlineStr">
        <is>
          <t>carbon</t>
        </is>
      </c>
      <c r="J2" s="2" t="n">
        <v>1</v>
      </c>
      <c r="K2" s="2" t="inlineStr">
        <is>
          <t>No</t>
        </is>
      </c>
      <c r="L2" s="2" t="inlineStr"/>
      <c r="M2" s="2" t="inlineStr">
        <is>
          <t>url</t>
        </is>
      </c>
      <c r="N2" s="2" t="n">
        <v>531</v>
      </c>
      <c r="O2" s="2" t="inlineStr"/>
      <c r="P2" s="2" t="inlineStr">
        <is>
          <t>carbon</t>
        </is>
      </c>
      <c r="Q2" s="2" t="inlineStr"/>
      <c r="R2" s="2" t="inlineStr"/>
    </row>
    <row r="3">
      <c r="A3" s="2" t="inlineStr">
        <is>
          <t>2024-02</t>
        </is>
      </c>
      <c r="B3" s="4" t="n">
        <v>45324</v>
      </c>
      <c r="C3" s="2" t="inlineStr">
        <is>
          <t>Pre-withdrawal</t>
        </is>
      </c>
      <c r="D3" s="2" t="inlineStr">
        <is>
          <t>Hong Kong</t>
        </is>
      </c>
      <c r="E3" s="2" t="inlineStr">
        <is>
          <t>Govt press release</t>
        </is>
      </c>
      <c r="F3" s="2" t="inlineStr">
        <is>
          <t>info.gov.hk</t>
        </is>
      </c>
      <c r="G3" s="2" t="inlineStr">
        <is>
          <t>Special operational arrangements for GREEN@COMMUNITY facilities during Lunar New Year holidays</t>
        </is>
      </c>
      <c r="H3" s="5" t="inlineStr">
        <is>
          <t>https://www.info.gov.hk/gia/general/202402/02/P2024020200651.htm</t>
        </is>
      </c>
      <c r="I3" s="2" t="inlineStr">
        <is>
          <t>Environment; green</t>
        </is>
      </c>
      <c r="J3" s="2" t="n">
        <v>2</v>
      </c>
      <c r="K3" s="2" t="inlineStr">
        <is>
          <t>No</t>
        </is>
      </c>
      <c r="L3" s="2" t="inlineStr"/>
      <c r="M3" s="2" t="inlineStr">
        <is>
          <t>url</t>
        </is>
      </c>
      <c r="N3" s="2" t="n">
        <v>315</v>
      </c>
      <c r="O3" s="2" t="inlineStr"/>
      <c r="P3" s="2" t="inlineStr">
        <is>
          <t>Environment; green</t>
        </is>
      </c>
      <c r="Q3" s="2" t="inlineStr"/>
      <c r="R3" s="2" t="inlineStr"/>
    </row>
    <row r="4">
      <c r="A4" s="2" t="inlineStr">
        <is>
          <t>2024-02</t>
        </is>
      </c>
      <c r="B4" s="4" t="n">
        <v>45327</v>
      </c>
      <c r="C4" s="2" t="inlineStr">
        <is>
          <t>Pre-withdrawal</t>
        </is>
      </c>
      <c r="D4" s="2" t="inlineStr">
        <is>
          <t>Hong Kong</t>
        </is>
      </c>
      <c r="E4" s="2" t="inlineStr">
        <is>
          <t>Govt press release</t>
        </is>
      </c>
      <c r="F4" s="2" t="inlineStr">
        <is>
          <t>info.gov.hk</t>
        </is>
      </c>
      <c r="G4" s="2" t="inlineStr">
        <is>
          <t>Government urges public to stop using "energy-saving ring" on gas cookers to avoid carbon monoxide poisoning</t>
        </is>
      </c>
      <c r="H4" s="5" t="inlineStr">
        <is>
          <t>https://www.info.gov.hk/gia/general/202402/05/P2024020500512.htm</t>
        </is>
      </c>
      <c r="I4" s="2" t="inlineStr">
        <is>
          <t>carbon; emissions; energy</t>
        </is>
      </c>
      <c r="J4" s="2" t="n">
        <v>3</v>
      </c>
      <c r="K4" s="2" t="inlineStr">
        <is>
          <t>Yes</t>
        </is>
      </c>
      <c r="L4" s="2" t="inlineStr"/>
      <c r="M4" s="2" t="inlineStr">
        <is>
          <t>url</t>
        </is>
      </c>
      <c r="N4" s="2" t="n">
        <v>500</v>
      </c>
      <c r="O4" s="2" t="inlineStr"/>
      <c r="P4" s="2" t="inlineStr">
        <is>
          <t>carbon; emissions; energy</t>
        </is>
      </c>
      <c r="Q4" s="2" t="inlineStr"/>
      <c r="R4" s="2" t="inlineStr"/>
    </row>
    <row r="5">
      <c r="A5" s="2" t="inlineStr">
        <is>
          <t>2024-02</t>
        </is>
      </c>
      <c r="B5" s="4" t="n">
        <v>45329</v>
      </c>
      <c r="C5" s="2" t="inlineStr">
        <is>
          <t>Pre-withdrawal</t>
        </is>
      </c>
      <c r="D5" s="2" t="inlineStr">
        <is>
          <t>Hong Kong</t>
        </is>
      </c>
      <c r="E5" s="2" t="inlineStr">
        <is>
          <t>Govt press release</t>
        </is>
      </c>
      <c r="F5" s="2" t="inlineStr">
        <is>
          <t>info.gov.hk</t>
        </is>
      </c>
      <c r="G5" s="2" t="inlineStr">
        <is>
          <t>HKSAR Government's Digital Green Bonds Offering</t>
        </is>
      </c>
      <c r="H5" s="5" t="inlineStr">
        <is>
          <t>https://www.info.gov.hk/gia/general/202402/07/P2024020700516.htm</t>
        </is>
      </c>
      <c r="I5" s="2" t="inlineStr">
        <is>
          <t>Transparency; green</t>
        </is>
      </c>
      <c r="J5" s="2" t="n">
        <v>2</v>
      </c>
      <c r="K5" s="2" t="inlineStr">
        <is>
          <t>No</t>
        </is>
      </c>
      <c r="L5" s="2" t="inlineStr"/>
      <c r="M5" s="2" t="inlineStr">
        <is>
          <t>url</t>
        </is>
      </c>
      <c r="N5" s="2" t="n">
        <v>1273</v>
      </c>
      <c r="O5" s="2" t="inlineStr"/>
      <c r="P5" s="2" t="inlineStr">
        <is>
          <t>Transparency; green</t>
        </is>
      </c>
      <c r="Q5" s="2" t="inlineStr"/>
      <c r="R5" s="2" t="inlineStr"/>
    </row>
    <row r="6">
      <c r="A6" s="2" t="inlineStr">
        <is>
          <t>2024-02</t>
        </is>
      </c>
      <c r="B6" s="4" t="n">
        <v>45345</v>
      </c>
      <c r="C6" s="2" t="inlineStr">
        <is>
          <t>Pre-withdrawal</t>
        </is>
      </c>
      <c r="D6" s="2" t="inlineStr">
        <is>
          <t>Hong Kong</t>
        </is>
      </c>
      <c r="E6" s="2" t="inlineStr">
        <is>
          <t>Govt press release</t>
        </is>
      </c>
      <c r="F6" s="2" t="inlineStr">
        <is>
          <t>info.gov.hk</t>
        </is>
      </c>
      <c r="G6" s="2" t="inlineStr">
        <is>
          <t>Qualifying standards for environment-friendly commercial vehicles to remain unchanged from April 2024 to March 2025</t>
        </is>
      </c>
      <c r="H6" s="5" t="inlineStr">
        <is>
          <t>https://www.info.gov.hk/gia/general/202402/23/P2024022300280.htm</t>
        </is>
      </c>
      <c r="I6" s="2" t="inlineStr">
        <is>
          <t>Environment; emissions</t>
        </is>
      </c>
      <c r="J6" s="2" t="n">
        <v>2</v>
      </c>
      <c r="K6" s="2" t="inlineStr">
        <is>
          <t>No</t>
        </is>
      </c>
      <c r="L6" s="2" t="inlineStr"/>
      <c r="M6" s="2" t="inlineStr">
        <is>
          <t>url</t>
        </is>
      </c>
      <c r="N6" s="2" t="n">
        <v>120</v>
      </c>
      <c r="O6" s="2" t="inlineStr"/>
      <c r="P6" s="2" t="inlineStr">
        <is>
          <t>Environment; emissions</t>
        </is>
      </c>
      <c r="Q6" s="2" t="inlineStr"/>
      <c r="R6" s="2" t="inlineStr"/>
    </row>
    <row r="7">
      <c r="A7" s="2" t="inlineStr">
        <is>
          <t>2024-02</t>
        </is>
      </c>
      <c r="B7" s="4" t="n">
        <v>45345</v>
      </c>
      <c r="C7" s="2" t="inlineStr">
        <is>
          <t>Pre-withdrawal</t>
        </is>
      </c>
      <c r="D7" s="2" t="inlineStr">
        <is>
          <t>Hong Kong</t>
        </is>
      </c>
      <c r="E7" s="2" t="inlineStr">
        <is>
          <t>Govt press release</t>
        </is>
      </c>
      <c r="F7" s="2" t="inlineStr">
        <is>
          <t>info.gov.hk</t>
        </is>
      </c>
      <c r="G7" s="2" t="inlineStr">
        <is>
          <t>SEE officiates at opening ceremony of GREEN@TSING YI (with photos)</t>
        </is>
      </c>
      <c r="H7" s="5" t="inlineStr">
        <is>
          <t>https://www.info.gov.hk/gia/general/202402/23/P2024022200349.htm</t>
        </is>
      </c>
      <c r="I7" s="2" t="inlineStr">
        <is>
          <t>carbon; green</t>
        </is>
      </c>
      <c r="J7" s="2" t="n">
        <v>2</v>
      </c>
      <c r="K7" s="2" t="inlineStr">
        <is>
          <t>No</t>
        </is>
      </c>
      <c r="L7" s="2" t="inlineStr"/>
      <c r="M7" s="2" t="inlineStr">
        <is>
          <t>url</t>
        </is>
      </c>
      <c r="N7" s="2" t="n">
        <v>366</v>
      </c>
      <c r="O7" s="2" t="inlineStr"/>
      <c r="P7" s="2" t="inlineStr">
        <is>
          <t>carbon; green</t>
        </is>
      </c>
      <c r="Q7" s="2" t="inlineStr"/>
      <c r="R7" s="2" t="inlineStr"/>
    </row>
    <row r="8">
      <c r="A8" s="2" t="inlineStr">
        <is>
          <t>2024-02</t>
        </is>
      </c>
      <c r="B8" s="4" t="n">
        <v>45350</v>
      </c>
      <c r="C8" s="2" t="inlineStr">
        <is>
          <t>Pre-withdrawal</t>
        </is>
      </c>
      <c r="D8" s="2" t="inlineStr">
        <is>
          <t>Hong Kong</t>
        </is>
      </c>
      <c r="E8" s="2" t="inlineStr">
        <is>
          <t>Govt press release</t>
        </is>
      </c>
      <c r="F8" s="2" t="inlineStr">
        <is>
          <t>info.gov.hk</t>
        </is>
      </c>
      <c r="G8" s="2" t="inlineStr">
        <is>
          <t>LCQ12: Operation of the community recycling network GREEN@COMMUNITY</t>
        </is>
      </c>
      <c r="H8" s="5" t="inlineStr">
        <is>
          <t>https://www.info.gov.hk/gia/general/202402/28/P2024022800306.htm</t>
        </is>
      </c>
      <c r="I8" s="2" t="inlineStr">
        <is>
          <t>Environment; green</t>
        </is>
      </c>
      <c r="J8" s="2" t="n">
        <v>2</v>
      </c>
      <c r="K8" s="2" t="inlineStr">
        <is>
          <t>No</t>
        </is>
      </c>
      <c r="L8" s="2" t="inlineStr"/>
      <c r="M8" s="2" t="inlineStr">
        <is>
          <t>url</t>
        </is>
      </c>
      <c r="N8" s="2" t="n">
        <v>2304</v>
      </c>
      <c r="O8" s="2" t="inlineStr"/>
      <c r="P8" s="2" t="inlineStr">
        <is>
          <t>Environment; green</t>
        </is>
      </c>
      <c r="Q8" s="2" t="inlineStr"/>
      <c r="R8" s="2" t="inlineStr"/>
    </row>
    <row r="9">
      <c r="A9" s="2" t="inlineStr">
        <is>
          <t>2024-02</t>
        </is>
      </c>
      <c r="B9" s="4" t="n">
        <v>45351</v>
      </c>
      <c r="C9" s="2" t="inlineStr">
        <is>
          <t>Pre-withdrawal</t>
        </is>
      </c>
      <c r="D9" s="2" t="inlineStr">
        <is>
          <t>Hong Kong</t>
        </is>
      </c>
      <c r="E9" s="2" t="inlineStr">
        <is>
          <t>Govt press release</t>
        </is>
      </c>
      <c r="F9" s="2" t="inlineStr">
        <is>
          <t>info.gov.hk</t>
        </is>
      </c>
      <c r="G9" s="2" t="inlineStr">
        <is>
          <t>Government to introduce resolution to set borrowing limit at $500 billion for expanded Government Green Bond Programme and new Infrastructure Bond Programme</t>
        </is>
      </c>
      <c r="H9" s="5" t="inlineStr">
        <is>
          <t>https://www.info.gov.hk/gia/general/202402/29/P2024022900260.htm</t>
        </is>
      </c>
      <c r="I9" s="2" t="inlineStr">
        <is>
          <t>Climate; Climate Change; Green Finance; green</t>
        </is>
      </c>
      <c r="J9" s="2" t="n">
        <v>4</v>
      </c>
      <c r="K9" s="2" t="inlineStr">
        <is>
          <t>No</t>
        </is>
      </c>
      <c r="L9" s="2" t="inlineStr"/>
      <c r="M9" s="2" t="inlineStr">
        <is>
          <t>url</t>
        </is>
      </c>
      <c r="N9" s="2" t="n">
        <v>303</v>
      </c>
      <c r="O9" s="2" t="inlineStr"/>
      <c r="P9" s="2" t="inlineStr">
        <is>
          <t>Climate; Climate Change; Green Finance; green</t>
        </is>
      </c>
      <c r="Q9" s="2" t="inlineStr"/>
      <c r="R9" s="2" t="inlineStr"/>
    </row>
    <row r="10">
      <c r="A10" s="2" t="inlineStr">
        <is>
          <t>2024-02</t>
        </is>
      </c>
      <c r="B10" s="4" t="n">
        <v>45351</v>
      </c>
      <c r="C10" s="2" t="inlineStr">
        <is>
          <t>Pre-withdrawal</t>
        </is>
      </c>
      <c r="D10" s="2" t="inlineStr">
        <is>
          <t>Hong Kong</t>
        </is>
      </c>
      <c r="E10" s="2" t="inlineStr">
        <is>
          <t>Govt press release</t>
        </is>
      </c>
      <c r="F10" s="2" t="inlineStr">
        <is>
          <t>info.gov.hk</t>
        </is>
      </c>
      <c r="G10" s="2" t="inlineStr">
        <is>
          <t>Housing Bureau holds seminar themed "Leveraging BuildTech and Green Finance in Public Housing" today to support Green Week (with photos)</t>
        </is>
      </c>
      <c r="H10" s="5" t="inlineStr">
        <is>
          <t>https://www.info.gov.hk/gia/general/202402/29/P2024022900351.htm</t>
        </is>
      </c>
      <c r="I10" s="2" t="inlineStr">
        <is>
          <t>Green Finance; Sustainability; green</t>
        </is>
      </c>
      <c r="J10" s="2" t="n">
        <v>3</v>
      </c>
      <c r="K10" s="2" t="inlineStr">
        <is>
          <t>No</t>
        </is>
      </c>
      <c r="L10" s="2" t="inlineStr"/>
      <c r="M10" s="2" t="inlineStr">
        <is>
          <t>url</t>
        </is>
      </c>
      <c r="N10" s="2" t="n">
        <v>325</v>
      </c>
      <c r="O10" s="2" t="inlineStr"/>
      <c r="P10" s="2" t="inlineStr">
        <is>
          <t>Green Finance; Sustainability; green</t>
        </is>
      </c>
      <c r="Q10" s="2" t="inlineStr"/>
      <c r="R10" s="2" t="inlineStr"/>
    </row>
  </sheetData>
  <autoFilter ref="A1:R10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6" customWidth="1" min="4" max="4"/>
    <col width="22" customWidth="1" min="5" max="5"/>
    <col width="26" customWidth="1" min="6" max="6"/>
    <col width="60" customWidth="1" min="7" max="7"/>
    <col width="50" customWidth="1" min="8" max="8"/>
    <col width="45" customWidth="1" min="9" max="9"/>
    <col width="10" customWidth="1" min="10" max="10"/>
    <col width="10" customWidth="1" min="11" max="11"/>
    <col width="18" customWidth="1" min="12" max="12"/>
    <col width="16" customWidth="1" min="13" max="13"/>
    <col width="10" customWidth="1" min="14" max="14"/>
    <col width="28" customWidth="1" min="15" max="15"/>
    <col width="28" customWidth="1" min="16" max="16"/>
    <col width="28" customWidth="1" min="17" max="17"/>
    <col width="28" customWidth="1" min="18" max="18"/>
  </cols>
  <sheetData>
    <row r="1">
      <c r="A1" s="1" t="inlineStr">
        <is>
          <t>Month</t>
        </is>
      </c>
      <c r="B1" s="1" t="inlineStr">
        <is>
          <t>Date</t>
        </is>
      </c>
      <c r="C1" s="1" t="inlineStr">
        <is>
          <t>Period</t>
        </is>
      </c>
      <c r="D1" s="1" t="inlineStr">
        <is>
          <t>Country</t>
        </is>
      </c>
      <c r="E1" s="1" t="inlineStr">
        <is>
          <t>Source Type</t>
        </is>
      </c>
      <c r="F1" s="1" t="inlineStr">
        <is>
          <t>Site</t>
        </is>
      </c>
      <c r="G1" s="1" t="inlineStr">
        <is>
          <t>Title</t>
        </is>
      </c>
      <c r="H1" s="1" t="inlineStr">
        <is>
          <t>URL</t>
        </is>
      </c>
      <c r="I1" s="1" t="inlineStr">
        <is>
          <t>Matched Keywords</t>
        </is>
      </c>
      <c r="J1" s="1" t="inlineStr">
        <is>
          <t>Keyword Count</t>
        </is>
      </c>
      <c r="K1" s="1" t="inlineStr">
        <is>
          <t>Strong Match</t>
        </is>
      </c>
      <c r="L1" s="1" t="inlineStr">
        <is>
          <t>Minister/Person Country</t>
        </is>
      </c>
      <c r="M1" s="1" t="inlineStr">
        <is>
          <t>Date Source</t>
        </is>
      </c>
      <c r="N1" s="1" t="inlineStr">
        <is>
          <t>Word Count</t>
        </is>
      </c>
      <c r="O1" s="1" t="inlineStr">
        <is>
          <t>Regulatory Bodies hits</t>
        </is>
      </c>
      <c r="P1" s="1" t="inlineStr">
        <is>
          <t>Adjective Indicators hits</t>
        </is>
      </c>
      <c r="Q1" s="1" t="inlineStr">
        <is>
          <t>Organizations/Alliances hits</t>
        </is>
      </c>
      <c r="R1" s="1" t="inlineStr">
        <is>
          <t>Event/Person hits</t>
        </is>
      </c>
    </row>
    <row r="2">
      <c r="A2" s="2" t="inlineStr">
        <is>
          <t>2024-03</t>
        </is>
      </c>
      <c r="B2" s="4" t="n">
        <v>45352</v>
      </c>
      <c r="C2" s="2" t="inlineStr">
        <is>
          <t>Pre-withdrawal</t>
        </is>
      </c>
      <c r="D2" s="2" t="inlineStr">
        <is>
          <t>Hong Kong</t>
        </is>
      </c>
      <c r="E2" s="2" t="inlineStr">
        <is>
          <t>Govt press release</t>
        </is>
      </c>
      <c r="F2" s="2" t="inlineStr">
        <is>
          <t>info.gov.hk</t>
        </is>
      </c>
      <c r="G2" s="2" t="inlineStr">
        <is>
          <t>Conclusion of Hong Kong Green Week-Finance Stream</t>
        </is>
      </c>
      <c r="H2" s="5" t="inlineStr">
        <is>
          <t>https://www.info.gov.hk/gia/general/202403/01/P2024030100611.htm</t>
        </is>
      </c>
      <c r="I2" s="2" t="inlineStr">
        <is>
          <t>Circular; Circular Economy; Climate; Sustainability; carbon; energy; green; transition</t>
        </is>
      </c>
      <c r="J2" s="2" t="n">
        <v>8</v>
      </c>
      <c r="K2" s="2" t="inlineStr">
        <is>
          <t>Yes</t>
        </is>
      </c>
      <c r="L2" s="2" t="inlineStr"/>
      <c r="M2" s="2" t="inlineStr">
        <is>
          <t>url</t>
        </is>
      </c>
      <c r="N2" s="2" t="n">
        <v>360</v>
      </c>
      <c r="O2" s="2" t="inlineStr"/>
      <c r="P2" s="2" t="inlineStr">
        <is>
          <t>Circular; Circular Economy; Climate; Sustainability; carbon; energy; green; transition</t>
        </is>
      </c>
      <c r="Q2" s="2" t="inlineStr"/>
      <c r="R2" s="2" t="inlineStr"/>
    </row>
  </sheetData>
  <autoFilter ref="A1:R2"/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6" customWidth="1" min="4" max="4"/>
    <col width="22" customWidth="1" min="5" max="5"/>
    <col width="26" customWidth="1" min="6" max="6"/>
    <col width="60" customWidth="1" min="7" max="7"/>
    <col width="50" customWidth="1" min="8" max="8"/>
    <col width="45" customWidth="1" min="9" max="9"/>
    <col width="10" customWidth="1" min="10" max="10"/>
    <col width="10" customWidth="1" min="11" max="11"/>
    <col width="18" customWidth="1" min="12" max="12"/>
    <col width="16" customWidth="1" min="13" max="13"/>
    <col width="10" customWidth="1" min="14" max="14"/>
    <col width="28" customWidth="1" min="15" max="15"/>
    <col width="28" customWidth="1" min="16" max="16"/>
    <col width="28" customWidth="1" min="17" max="17"/>
    <col width="28" customWidth="1" min="18" max="18"/>
  </cols>
  <sheetData>
    <row r="1">
      <c r="A1" s="1" t="inlineStr">
        <is>
          <t>Month</t>
        </is>
      </c>
      <c r="B1" s="1" t="inlineStr">
        <is>
          <t>Date</t>
        </is>
      </c>
      <c r="C1" s="1" t="inlineStr">
        <is>
          <t>Period</t>
        </is>
      </c>
      <c r="D1" s="1" t="inlineStr">
        <is>
          <t>Country</t>
        </is>
      </c>
      <c r="E1" s="1" t="inlineStr">
        <is>
          <t>Source Type</t>
        </is>
      </c>
      <c r="F1" s="1" t="inlineStr">
        <is>
          <t>Site</t>
        </is>
      </c>
      <c r="G1" s="1" t="inlineStr">
        <is>
          <t>Title</t>
        </is>
      </c>
      <c r="H1" s="1" t="inlineStr">
        <is>
          <t>URL</t>
        </is>
      </c>
      <c r="I1" s="1" t="inlineStr">
        <is>
          <t>Matched Keywords</t>
        </is>
      </c>
      <c r="J1" s="1" t="inlineStr">
        <is>
          <t>Keyword Count</t>
        </is>
      </c>
      <c r="K1" s="1" t="inlineStr">
        <is>
          <t>Strong Match</t>
        </is>
      </c>
      <c r="L1" s="1" t="inlineStr">
        <is>
          <t>Minister/Person Country</t>
        </is>
      </c>
      <c r="M1" s="1" t="inlineStr">
        <is>
          <t>Date Source</t>
        </is>
      </c>
      <c r="N1" s="1" t="inlineStr">
        <is>
          <t>Word Count</t>
        </is>
      </c>
      <c r="O1" s="1" t="inlineStr">
        <is>
          <t>Regulatory Bodies hits</t>
        </is>
      </c>
      <c r="P1" s="1" t="inlineStr">
        <is>
          <t>Adjective Indicators hits</t>
        </is>
      </c>
      <c r="Q1" s="1" t="inlineStr">
        <is>
          <t>Organizations/Alliances hits</t>
        </is>
      </c>
      <c r="R1" s="1" t="inlineStr">
        <is>
          <t>Event/Person hits</t>
        </is>
      </c>
    </row>
    <row r="2">
      <c r="A2" s="2" t="inlineStr">
        <is>
          <t>2024-06</t>
        </is>
      </c>
      <c r="B2" s="4" t="n">
        <v>45467</v>
      </c>
      <c r="C2" s="2" t="inlineStr">
        <is>
          <t>Pre-withdrawal</t>
        </is>
      </c>
      <c r="D2" s="2" t="inlineStr">
        <is>
          <t>New Zealand</t>
        </is>
      </c>
      <c r="E2" s="2" t="inlineStr">
        <is>
          <t>Ministry of Environment</t>
        </is>
      </c>
      <c r="F2" s="2" t="inlineStr">
        <is>
          <t>environment.govt.nz</t>
        </is>
      </c>
      <c r="G2" s="2" t="inlineStr">
        <is>
          <t>Climate scenarios toolkit</t>
        </is>
      </c>
      <c r="H2" s="5" t="inlineStr">
        <is>
          <t>https://environment.govt.nz/what-you-can-do/climate-scenarios-toolkit/</t>
        </is>
      </c>
      <c r="I2" s="2" t="inlineStr">
        <is>
          <t>Climate; Climate Change; Environment</t>
        </is>
      </c>
      <c r="J2" s="2" t="n">
        <v>3</v>
      </c>
      <c r="K2" s="2" t="inlineStr">
        <is>
          <t>No</t>
        </is>
      </c>
      <c r="L2" s="2" t="inlineStr"/>
      <c r="M2" s="2" t="inlineStr">
        <is>
          <t>page metadata</t>
        </is>
      </c>
      <c r="N2" s="2" t="n">
        <v>134</v>
      </c>
      <c r="O2" s="2" t="inlineStr"/>
      <c r="P2" s="2" t="inlineStr">
        <is>
          <t>Climate; Climate Change; Environment</t>
        </is>
      </c>
      <c r="Q2" s="2" t="inlineStr"/>
      <c r="R2" s="2" t="inlineStr"/>
    </row>
  </sheetData>
  <autoFilter ref="A1:R2"/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6" customWidth="1" min="4" max="4"/>
    <col width="22" customWidth="1" min="5" max="5"/>
    <col width="26" customWidth="1" min="6" max="6"/>
    <col width="60" customWidth="1" min="7" max="7"/>
    <col width="50" customWidth="1" min="8" max="8"/>
    <col width="45" customWidth="1" min="9" max="9"/>
    <col width="10" customWidth="1" min="10" max="10"/>
    <col width="10" customWidth="1" min="11" max="11"/>
    <col width="18" customWidth="1" min="12" max="12"/>
    <col width="16" customWidth="1" min="13" max="13"/>
    <col width="10" customWidth="1" min="14" max="14"/>
    <col width="28" customWidth="1" min="15" max="15"/>
    <col width="28" customWidth="1" min="16" max="16"/>
    <col width="28" customWidth="1" min="17" max="17"/>
    <col width="28" customWidth="1" min="18" max="18"/>
  </cols>
  <sheetData>
    <row r="1">
      <c r="A1" s="1" t="inlineStr">
        <is>
          <t>Month</t>
        </is>
      </c>
      <c r="B1" s="1" t="inlineStr">
        <is>
          <t>Date</t>
        </is>
      </c>
      <c r="C1" s="1" t="inlineStr">
        <is>
          <t>Period</t>
        </is>
      </c>
      <c r="D1" s="1" t="inlineStr">
        <is>
          <t>Country</t>
        </is>
      </c>
      <c r="E1" s="1" t="inlineStr">
        <is>
          <t>Source Type</t>
        </is>
      </c>
      <c r="F1" s="1" t="inlineStr">
        <is>
          <t>Site</t>
        </is>
      </c>
      <c r="G1" s="1" t="inlineStr">
        <is>
          <t>Title</t>
        </is>
      </c>
      <c r="H1" s="1" t="inlineStr">
        <is>
          <t>URL</t>
        </is>
      </c>
      <c r="I1" s="1" t="inlineStr">
        <is>
          <t>Matched Keywords</t>
        </is>
      </c>
      <c r="J1" s="1" t="inlineStr">
        <is>
          <t>Keyword Count</t>
        </is>
      </c>
      <c r="K1" s="1" t="inlineStr">
        <is>
          <t>Strong Match</t>
        </is>
      </c>
      <c r="L1" s="1" t="inlineStr">
        <is>
          <t>Minister/Person Country</t>
        </is>
      </c>
      <c r="M1" s="1" t="inlineStr">
        <is>
          <t>Date Source</t>
        </is>
      </c>
      <c r="N1" s="1" t="inlineStr">
        <is>
          <t>Word Count</t>
        </is>
      </c>
      <c r="O1" s="1" t="inlineStr">
        <is>
          <t>Regulatory Bodies hits</t>
        </is>
      </c>
      <c r="P1" s="1" t="inlineStr">
        <is>
          <t>Adjective Indicators hits</t>
        </is>
      </c>
      <c r="Q1" s="1" t="inlineStr">
        <is>
          <t>Organizations/Alliances hits</t>
        </is>
      </c>
      <c r="R1" s="1" t="inlineStr">
        <is>
          <t>Event/Person hits</t>
        </is>
      </c>
    </row>
    <row r="2">
      <c r="A2" s="2" t="inlineStr">
        <is>
          <t>2024-09</t>
        </is>
      </c>
      <c r="B2" s="4" t="n">
        <v>45553</v>
      </c>
      <c r="C2" s="2" t="inlineStr">
        <is>
          <t>Pre-withdrawal</t>
        </is>
      </c>
      <c r="D2" s="2" t="inlineStr">
        <is>
          <t>New Zealand</t>
        </is>
      </c>
      <c r="E2" s="2" t="inlineStr">
        <is>
          <t>Ministry of Environment</t>
        </is>
      </c>
      <c r="F2" s="2" t="inlineStr">
        <is>
          <t>environment.govt.nz</t>
        </is>
      </c>
      <c r="G2" s="2" t="inlineStr">
        <is>
          <t>Climate Change</t>
        </is>
      </c>
      <c r="H2" s="5" t="inlineStr">
        <is>
          <t>https://environment.govt.nz/facts-and-science/climate-change/</t>
        </is>
      </c>
      <c r="I2" s="2" t="inlineStr">
        <is>
          <t>Climate; Climate Change; Environment</t>
        </is>
      </c>
      <c r="J2" s="2" t="n">
        <v>3</v>
      </c>
      <c r="K2" s="2" t="inlineStr">
        <is>
          <t>No</t>
        </is>
      </c>
      <c r="L2" s="2" t="inlineStr"/>
      <c r="M2" s="2" t="inlineStr">
        <is>
          <t>page metadata</t>
        </is>
      </c>
      <c r="N2" s="2" t="n">
        <v>134</v>
      </c>
      <c r="O2" s="2" t="inlineStr"/>
      <c r="P2" s="2" t="inlineStr">
        <is>
          <t>Climate; Climate Change; Environment</t>
        </is>
      </c>
      <c r="Q2" s="2" t="inlineStr"/>
      <c r="R2" s="2" t="inlineStr"/>
    </row>
  </sheetData>
  <autoFilter ref="A1:R2"/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6" customWidth="1" min="4" max="4"/>
    <col width="22" customWidth="1" min="5" max="5"/>
    <col width="26" customWidth="1" min="6" max="6"/>
    <col width="60" customWidth="1" min="7" max="7"/>
    <col width="50" customWidth="1" min="8" max="8"/>
    <col width="45" customWidth="1" min="9" max="9"/>
    <col width="10" customWidth="1" min="10" max="10"/>
    <col width="10" customWidth="1" min="11" max="11"/>
    <col width="18" customWidth="1" min="12" max="12"/>
    <col width="16" customWidth="1" min="13" max="13"/>
    <col width="10" customWidth="1" min="14" max="14"/>
    <col width="28" customWidth="1" min="15" max="15"/>
    <col width="28" customWidth="1" min="16" max="16"/>
    <col width="28" customWidth="1" min="17" max="17"/>
    <col width="28" customWidth="1" min="18" max="18"/>
  </cols>
  <sheetData>
    <row r="1">
      <c r="A1" s="1" t="inlineStr">
        <is>
          <t>Month</t>
        </is>
      </c>
      <c r="B1" s="1" t="inlineStr">
        <is>
          <t>Date</t>
        </is>
      </c>
      <c r="C1" s="1" t="inlineStr">
        <is>
          <t>Period</t>
        </is>
      </c>
      <c r="D1" s="1" t="inlineStr">
        <is>
          <t>Country</t>
        </is>
      </c>
      <c r="E1" s="1" t="inlineStr">
        <is>
          <t>Source Type</t>
        </is>
      </c>
      <c r="F1" s="1" t="inlineStr">
        <is>
          <t>Site</t>
        </is>
      </c>
      <c r="G1" s="1" t="inlineStr">
        <is>
          <t>Title</t>
        </is>
      </c>
      <c r="H1" s="1" t="inlineStr">
        <is>
          <t>URL</t>
        </is>
      </c>
      <c r="I1" s="1" t="inlineStr">
        <is>
          <t>Matched Keywords</t>
        </is>
      </c>
      <c r="J1" s="1" t="inlineStr">
        <is>
          <t>Keyword Count</t>
        </is>
      </c>
      <c r="K1" s="1" t="inlineStr">
        <is>
          <t>Strong Match</t>
        </is>
      </c>
      <c r="L1" s="1" t="inlineStr">
        <is>
          <t>Minister/Person Country</t>
        </is>
      </c>
      <c r="M1" s="1" t="inlineStr">
        <is>
          <t>Date Source</t>
        </is>
      </c>
      <c r="N1" s="1" t="inlineStr">
        <is>
          <t>Word Count</t>
        </is>
      </c>
      <c r="O1" s="1" t="inlineStr">
        <is>
          <t>Regulatory Bodies hits</t>
        </is>
      </c>
      <c r="P1" s="1" t="inlineStr">
        <is>
          <t>Adjective Indicators hits</t>
        </is>
      </c>
      <c r="Q1" s="1" t="inlineStr">
        <is>
          <t>Organizations/Alliances hits</t>
        </is>
      </c>
      <c r="R1" s="1" t="inlineStr">
        <is>
          <t>Event/Person hits</t>
        </is>
      </c>
    </row>
    <row r="2">
      <c r="A2" s="2" t="inlineStr">
        <is>
          <t>2024-10</t>
        </is>
      </c>
      <c r="B2" s="4" t="n">
        <v>45574</v>
      </c>
      <c r="C2" s="2" t="inlineStr">
        <is>
          <t>Pre-withdrawal</t>
        </is>
      </c>
      <c r="D2" s="2" t="inlineStr">
        <is>
          <t>New Zealand</t>
        </is>
      </c>
      <c r="E2" s="2" t="inlineStr">
        <is>
          <t>Ministry of Environment</t>
        </is>
      </c>
      <c r="F2" s="2" t="inlineStr">
        <is>
          <t>environment.govt.nz</t>
        </is>
      </c>
      <c r="G2" s="2" t="inlineStr">
        <is>
          <t>Environmental reporting</t>
        </is>
      </c>
      <c r="H2" s="5" t="inlineStr">
        <is>
          <t>https://environment.govt.nz/facts-and-science/environmental-reporting/</t>
        </is>
      </c>
      <c r="I2" s="2" t="inlineStr">
        <is>
          <t>Environment</t>
        </is>
      </c>
      <c r="J2" s="2" t="n">
        <v>1</v>
      </c>
      <c r="K2" s="2" t="inlineStr">
        <is>
          <t>No</t>
        </is>
      </c>
      <c r="L2" s="2" t="inlineStr"/>
      <c r="M2" s="2" t="inlineStr">
        <is>
          <t>page metadata</t>
        </is>
      </c>
      <c r="N2" s="2" t="n">
        <v>46</v>
      </c>
      <c r="O2" s="2" t="inlineStr"/>
      <c r="P2" s="2" t="inlineStr">
        <is>
          <t>Environment</t>
        </is>
      </c>
      <c r="Q2" s="2" t="inlineStr"/>
      <c r="R2" s="2" t="inlineStr"/>
    </row>
  </sheetData>
  <autoFilter ref="A1:R2"/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6" customWidth="1" min="4" max="4"/>
    <col width="22" customWidth="1" min="5" max="5"/>
    <col width="26" customWidth="1" min="6" max="6"/>
    <col width="60" customWidth="1" min="7" max="7"/>
    <col width="50" customWidth="1" min="8" max="8"/>
    <col width="45" customWidth="1" min="9" max="9"/>
    <col width="10" customWidth="1" min="10" max="10"/>
    <col width="10" customWidth="1" min="11" max="11"/>
    <col width="18" customWidth="1" min="12" max="12"/>
    <col width="16" customWidth="1" min="13" max="13"/>
    <col width="10" customWidth="1" min="14" max="14"/>
    <col width="28" customWidth="1" min="15" max="15"/>
    <col width="28" customWidth="1" min="16" max="16"/>
    <col width="28" customWidth="1" min="17" max="17"/>
    <col width="28" customWidth="1" min="18" max="18"/>
  </cols>
  <sheetData>
    <row r="1">
      <c r="A1" s="1" t="inlineStr">
        <is>
          <t>Month</t>
        </is>
      </c>
      <c r="B1" s="1" t="inlineStr">
        <is>
          <t>Date</t>
        </is>
      </c>
      <c r="C1" s="1" t="inlineStr">
        <is>
          <t>Period</t>
        </is>
      </c>
      <c r="D1" s="1" t="inlineStr">
        <is>
          <t>Country</t>
        </is>
      </c>
      <c r="E1" s="1" t="inlineStr">
        <is>
          <t>Source Type</t>
        </is>
      </c>
      <c r="F1" s="1" t="inlineStr">
        <is>
          <t>Site</t>
        </is>
      </c>
      <c r="G1" s="1" t="inlineStr">
        <is>
          <t>Title</t>
        </is>
      </c>
      <c r="H1" s="1" t="inlineStr">
        <is>
          <t>URL</t>
        </is>
      </c>
      <c r="I1" s="1" t="inlineStr">
        <is>
          <t>Matched Keywords</t>
        </is>
      </c>
      <c r="J1" s="1" t="inlineStr">
        <is>
          <t>Keyword Count</t>
        </is>
      </c>
      <c r="K1" s="1" t="inlineStr">
        <is>
          <t>Strong Match</t>
        </is>
      </c>
      <c r="L1" s="1" t="inlineStr">
        <is>
          <t>Minister/Person Country</t>
        </is>
      </c>
      <c r="M1" s="1" t="inlineStr">
        <is>
          <t>Date Source</t>
        </is>
      </c>
      <c r="N1" s="1" t="inlineStr">
        <is>
          <t>Word Count</t>
        </is>
      </c>
      <c r="O1" s="1" t="inlineStr">
        <is>
          <t>Regulatory Bodies hits</t>
        </is>
      </c>
      <c r="P1" s="1" t="inlineStr">
        <is>
          <t>Adjective Indicators hits</t>
        </is>
      </c>
      <c r="Q1" s="1" t="inlineStr">
        <is>
          <t>Organizations/Alliances hits</t>
        </is>
      </c>
      <c r="R1" s="1" t="inlineStr">
        <is>
          <t>Event/Person hits</t>
        </is>
      </c>
    </row>
    <row r="2">
      <c r="A2" s="2" t="inlineStr">
        <is>
          <t>2025-03</t>
        </is>
      </c>
      <c r="B2" s="4" t="n">
        <v>45729</v>
      </c>
      <c r="C2" s="2" t="inlineStr">
        <is>
          <t>Transition</t>
        </is>
      </c>
      <c r="D2" s="2" t="inlineStr">
        <is>
          <t>New Zealand</t>
        </is>
      </c>
      <c r="E2" s="2" t="inlineStr">
        <is>
          <t>Ministry of Environment</t>
        </is>
      </c>
      <c r="F2" s="2" t="inlineStr">
        <is>
          <t>environment.govt.nz</t>
        </is>
      </c>
      <c r="G2" s="2" t="inlineStr">
        <is>
          <t>Take action – Te reo Māori</t>
        </is>
      </c>
      <c r="H2" s="5" t="inlineStr">
        <is>
          <t>https://environment.govt.nz/what-you-can-do/take-action-landing-page-te-reo/</t>
        </is>
      </c>
      <c r="I2" s="2" t="inlineStr">
        <is>
          <t>Environment</t>
        </is>
      </c>
      <c r="J2" s="2" t="n">
        <v>1</v>
      </c>
      <c r="K2" s="2" t="inlineStr">
        <is>
          <t>No</t>
        </is>
      </c>
      <c r="L2" s="2" t="inlineStr"/>
      <c r="M2" s="2" t="inlineStr">
        <is>
          <t>page metadata</t>
        </is>
      </c>
      <c r="N2" s="2" t="n">
        <v>123</v>
      </c>
      <c r="O2" s="2" t="inlineStr"/>
      <c r="P2" s="2" t="inlineStr">
        <is>
          <t>Environment</t>
        </is>
      </c>
      <c r="Q2" s="2" t="inlineStr"/>
      <c r="R2" s="2" t="inlineStr"/>
    </row>
  </sheetData>
  <autoFilter ref="A1:R2"/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6" customWidth="1" min="4" max="4"/>
    <col width="22" customWidth="1" min="5" max="5"/>
    <col width="26" customWidth="1" min="6" max="6"/>
    <col width="60" customWidth="1" min="7" max="7"/>
    <col width="50" customWidth="1" min="8" max="8"/>
    <col width="45" customWidth="1" min="9" max="9"/>
    <col width="10" customWidth="1" min="10" max="10"/>
    <col width="10" customWidth="1" min="11" max="11"/>
    <col width="18" customWidth="1" min="12" max="12"/>
    <col width="16" customWidth="1" min="13" max="13"/>
    <col width="10" customWidth="1" min="14" max="14"/>
    <col width="28" customWidth="1" min="15" max="15"/>
    <col width="28" customWidth="1" min="16" max="16"/>
    <col width="28" customWidth="1" min="17" max="17"/>
    <col width="28" customWidth="1" min="18" max="18"/>
  </cols>
  <sheetData>
    <row r="1">
      <c r="A1" s="1" t="inlineStr">
        <is>
          <t>Month</t>
        </is>
      </c>
      <c r="B1" s="1" t="inlineStr">
        <is>
          <t>Date</t>
        </is>
      </c>
      <c r="C1" s="1" t="inlineStr">
        <is>
          <t>Period</t>
        </is>
      </c>
      <c r="D1" s="1" t="inlineStr">
        <is>
          <t>Country</t>
        </is>
      </c>
      <c r="E1" s="1" t="inlineStr">
        <is>
          <t>Source Type</t>
        </is>
      </c>
      <c r="F1" s="1" t="inlineStr">
        <is>
          <t>Site</t>
        </is>
      </c>
      <c r="G1" s="1" t="inlineStr">
        <is>
          <t>Title</t>
        </is>
      </c>
      <c r="H1" s="1" t="inlineStr">
        <is>
          <t>URL</t>
        </is>
      </c>
      <c r="I1" s="1" t="inlineStr">
        <is>
          <t>Matched Keywords</t>
        </is>
      </c>
      <c r="J1" s="1" t="inlineStr">
        <is>
          <t>Keyword Count</t>
        </is>
      </c>
      <c r="K1" s="1" t="inlineStr">
        <is>
          <t>Strong Match</t>
        </is>
      </c>
      <c r="L1" s="1" t="inlineStr">
        <is>
          <t>Minister/Person Country</t>
        </is>
      </c>
      <c r="M1" s="1" t="inlineStr">
        <is>
          <t>Date Source</t>
        </is>
      </c>
      <c r="N1" s="1" t="inlineStr">
        <is>
          <t>Word Count</t>
        </is>
      </c>
      <c r="O1" s="1" t="inlineStr">
        <is>
          <t>Regulatory Bodies hits</t>
        </is>
      </c>
      <c r="P1" s="1" t="inlineStr">
        <is>
          <t>Adjective Indicators hits</t>
        </is>
      </c>
      <c r="Q1" s="1" t="inlineStr">
        <is>
          <t>Organizations/Alliances hits</t>
        </is>
      </c>
      <c r="R1" s="1" t="inlineStr">
        <is>
          <t>Event/Person hits</t>
        </is>
      </c>
    </row>
    <row r="2">
      <c r="A2" s="2" t="inlineStr">
        <is>
          <t>2025-08</t>
        </is>
      </c>
      <c r="B2" s="4" t="n">
        <v>45877</v>
      </c>
      <c r="C2" s="2" t="inlineStr">
        <is>
          <t>Transition</t>
        </is>
      </c>
      <c r="D2" s="2" t="inlineStr">
        <is>
          <t>New Zealand</t>
        </is>
      </c>
      <c r="E2" s="2" t="inlineStr">
        <is>
          <t>Ministry of Environment</t>
        </is>
      </c>
      <c r="F2" s="2" t="inlineStr">
        <is>
          <t>environment.govt.nz</t>
        </is>
      </c>
      <c r="G2" s="2" t="inlineStr">
        <is>
          <t>Access to Experts</t>
        </is>
      </c>
      <c r="H2" s="5" t="inlineStr">
        <is>
          <t>https://environment.govt.nz/what-you-can-do/access-to-experts/</t>
        </is>
      </c>
      <c r="I2" s="2" t="inlineStr">
        <is>
          <t>Environment</t>
        </is>
      </c>
      <c r="J2" s="2" t="n">
        <v>1</v>
      </c>
      <c r="K2" s="2" t="inlineStr">
        <is>
          <t>No</t>
        </is>
      </c>
      <c r="L2" s="2" t="inlineStr"/>
      <c r="M2" s="2" t="inlineStr">
        <is>
          <t>page metadata</t>
        </is>
      </c>
      <c r="N2" s="2" t="n">
        <v>115</v>
      </c>
      <c r="O2" s="2" t="inlineStr"/>
      <c r="P2" s="2" t="inlineStr">
        <is>
          <t>Environment</t>
        </is>
      </c>
      <c r="Q2" s="2" t="inlineStr"/>
      <c r="R2" s="2" t="inlineStr"/>
    </row>
  </sheetData>
  <autoFilter ref="A1:R2"/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6" customWidth="1" min="4" max="4"/>
    <col width="22" customWidth="1" min="5" max="5"/>
    <col width="26" customWidth="1" min="6" max="6"/>
    <col width="60" customWidth="1" min="7" max="7"/>
    <col width="50" customWidth="1" min="8" max="8"/>
    <col width="45" customWidth="1" min="9" max="9"/>
    <col width="10" customWidth="1" min="10" max="10"/>
    <col width="10" customWidth="1" min="11" max="11"/>
    <col width="18" customWidth="1" min="12" max="12"/>
    <col width="16" customWidth="1" min="13" max="13"/>
    <col width="10" customWidth="1" min="14" max="14"/>
    <col width="28" customWidth="1" min="15" max="15"/>
    <col width="28" customWidth="1" min="16" max="16"/>
    <col width="28" customWidth="1" min="17" max="17"/>
    <col width="28" customWidth="1" min="18" max="18"/>
  </cols>
  <sheetData>
    <row r="1">
      <c r="A1" s="1" t="inlineStr">
        <is>
          <t>Month</t>
        </is>
      </c>
      <c r="B1" s="1" t="inlineStr">
        <is>
          <t>Date</t>
        </is>
      </c>
      <c r="C1" s="1" t="inlineStr">
        <is>
          <t>Period</t>
        </is>
      </c>
      <c r="D1" s="1" t="inlineStr">
        <is>
          <t>Country</t>
        </is>
      </c>
      <c r="E1" s="1" t="inlineStr">
        <is>
          <t>Source Type</t>
        </is>
      </c>
      <c r="F1" s="1" t="inlineStr">
        <is>
          <t>Site</t>
        </is>
      </c>
      <c r="G1" s="1" t="inlineStr">
        <is>
          <t>Title</t>
        </is>
      </c>
      <c r="H1" s="1" t="inlineStr">
        <is>
          <t>URL</t>
        </is>
      </c>
      <c r="I1" s="1" t="inlineStr">
        <is>
          <t>Matched Keywords</t>
        </is>
      </c>
      <c r="J1" s="1" t="inlineStr">
        <is>
          <t>Keyword Count</t>
        </is>
      </c>
      <c r="K1" s="1" t="inlineStr">
        <is>
          <t>Strong Match</t>
        </is>
      </c>
      <c r="L1" s="1" t="inlineStr">
        <is>
          <t>Minister/Person Country</t>
        </is>
      </c>
      <c r="M1" s="1" t="inlineStr">
        <is>
          <t>Date Source</t>
        </is>
      </c>
      <c r="N1" s="1" t="inlineStr">
        <is>
          <t>Word Count</t>
        </is>
      </c>
      <c r="O1" s="1" t="inlineStr">
        <is>
          <t>Regulatory Bodies hits</t>
        </is>
      </c>
      <c r="P1" s="1" t="inlineStr">
        <is>
          <t>Adjective Indicators hits</t>
        </is>
      </c>
      <c r="Q1" s="1" t="inlineStr">
        <is>
          <t>Organizations/Alliances hits</t>
        </is>
      </c>
      <c r="R1" s="1" t="inlineStr">
        <is>
          <t>Event/Person hits</t>
        </is>
      </c>
    </row>
    <row r="2">
      <c r="A2" s="2" t="inlineStr">
        <is>
          <t>2026-03</t>
        </is>
      </c>
      <c r="B2" s="4" t="n">
        <v>46108</v>
      </c>
      <c r="C2" s="2" t="inlineStr">
        <is>
          <t>Post-withdrawal</t>
        </is>
      </c>
      <c r="D2" s="2" t="inlineStr">
        <is>
          <t>New Zealand</t>
        </is>
      </c>
      <c r="E2" s="2" t="inlineStr">
        <is>
          <t>Ministry of Environment</t>
        </is>
      </c>
      <c r="F2" s="2" t="inlineStr">
        <is>
          <t>environment.govt.nz</t>
        </is>
      </c>
      <c r="G2" s="2" t="inlineStr">
        <is>
          <t>Calculate your emissions</t>
        </is>
      </c>
      <c r="H2" s="5" t="inlineStr">
        <is>
          <t>https://environment.govt.nz/what-you-can-do/calculate-your-emissions/</t>
        </is>
      </c>
      <c r="I2" s="2" t="inlineStr">
        <is>
          <t>Environment; emissions</t>
        </is>
      </c>
      <c r="J2" s="2" t="n">
        <v>2</v>
      </c>
      <c r="K2" s="2" t="inlineStr">
        <is>
          <t>No</t>
        </is>
      </c>
      <c r="L2" s="2" t="inlineStr"/>
      <c r="M2" s="2" t="inlineStr">
        <is>
          <t>page metadata</t>
        </is>
      </c>
      <c r="N2" s="2" t="n">
        <v>115</v>
      </c>
      <c r="O2" s="2" t="inlineStr"/>
      <c r="P2" s="2" t="inlineStr">
        <is>
          <t>Environment; emissions</t>
        </is>
      </c>
      <c r="Q2" s="2" t="inlineStr"/>
      <c r="R2" s="2" t="inlineStr"/>
    </row>
  </sheetData>
  <autoFilter ref="A1:R2"/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6" customWidth="1" min="4" max="4"/>
    <col width="22" customWidth="1" min="5" max="5"/>
    <col width="26" customWidth="1" min="6" max="6"/>
    <col width="60" customWidth="1" min="7" max="7"/>
    <col width="50" customWidth="1" min="8" max="8"/>
    <col width="45" customWidth="1" min="9" max="9"/>
    <col width="10" customWidth="1" min="10" max="10"/>
    <col width="10" customWidth="1" min="11" max="11"/>
    <col width="18" customWidth="1" min="12" max="12"/>
    <col width="16" customWidth="1" min="13" max="13"/>
    <col width="10" customWidth="1" min="14" max="14"/>
    <col width="28" customWidth="1" min="15" max="15"/>
    <col width="28" customWidth="1" min="16" max="16"/>
    <col width="28" customWidth="1" min="17" max="17"/>
    <col width="28" customWidth="1" min="18" max="18"/>
  </cols>
  <sheetData>
    <row r="1">
      <c r="A1" s="1" t="inlineStr">
        <is>
          <t>Month</t>
        </is>
      </c>
      <c r="B1" s="1" t="inlineStr">
        <is>
          <t>Date</t>
        </is>
      </c>
      <c r="C1" s="1" t="inlineStr">
        <is>
          <t>Period</t>
        </is>
      </c>
      <c r="D1" s="1" t="inlineStr">
        <is>
          <t>Country</t>
        </is>
      </c>
      <c r="E1" s="1" t="inlineStr">
        <is>
          <t>Source Type</t>
        </is>
      </c>
      <c r="F1" s="1" t="inlineStr">
        <is>
          <t>Site</t>
        </is>
      </c>
      <c r="G1" s="1" t="inlineStr">
        <is>
          <t>Title</t>
        </is>
      </c>
      <c r="H1" s="1" t="inlineStr">
        <is>
          <t>URL</t>
        </is>
      </c>
      <c r="I1" s="1" t="inlineStr">
        <is>
          <t>Matched Keywords</t>
        </is>
      </c>
      <c r="J1" s="1" t="inlineStr">
        <is>
          <t>Keyword Count</t>
        </is>
      </c>
      <c r="K1" s="1" t="inlineStr">
        <is>
          <t>Strong Match</t>
        </is>
      </c>
      <c r="L1" s="1" t="inlineStr">
        <is>
          <t>Minister/Person Country</t>
        </is>
      </c>
      <c r="M1" s="1" t="inlineStr">
        <is>
          <t>Date Source</t>
        </is>
      </c>
      <c r="N1" s="1" t="inlineStr">
        <is>
          <t>Word Count</t>
        </is>
      </c>
      <c r="O1" s="1" t="inlineStr">
        <is>
          <t>Regulatory Bodies hits</t>
        </is>
      </c>
      <c r="P1" s="1" t="inlineStr">
        <is>
          <t>Adjective Indicators hits</t>
        </is>
      </c>
      <c r="Q1" s="1" t="inlineStr">
        <is>
          <t>Organizations/Alliances hits</t>
        </is>
      </c>
      <c r="R1" s="1" t="inlineStr">
        <is>
          <t>Event/Person hits</t>
        </is>
      </c>
    </row>
    <row r="2">
      <c r="A2" s="2" t="inlineStr">
        <is>
          <t>2026-04</t>
        </is>
      </c>
      <c r="B2" s="4" t="n">
        <v>46121</v>
      </c>
      <c r="C2" s="2" t="inlineStr">
        <is>
          <t>Post-withdrawal</t>
        </is>
      </c>
      <c r="D2" s="2" t="inlineStr">
        <is>
          <t>Canada</t>
        </is>
      </c>
      <c r="E2" s="2" t="inlineStr">
        <is>
          <t>Ministry of Environment</t>
        </is>
      </c>
      <c r="F2" s="2" t="inlineStr">
        <is>
          <t>canada.ca</t>
        </is>
      </c>
      <c r="G2" s="2" t="inlineStr">
        <is>
          <t>Canada to launch hybrid AI weather model to strengthen forecasting for severe weather</t>
        </is>
      </c>
      <c r="H2" s="5" t="inlineStr">
        <is>
          <t>https://www.canada.ca/en/environment-climate-change/news/2026/04/canada-to-launch-hybrid-ai-weather-model-to-strengthen-forecasting-for-severe-weather.html</t>
        </is>
      </c>
      <c r="I2" s="2" t="inlineStr">
        <is>
          <t>Climate; Climate Change; Environment; Julie Dabrusin; Temperature</t>
        </is>
      </c>
      <c r="J2" s="2" t="n">
        <v>5</v>
      </c>
      <c r="K2" s="2" t="inlineStr">
        <is>
          <t>Yes</t>
        </is>
      </c>
      <c r="L2" s="2" t="inlineStr">
        <is>
          <t>Canada</t>
        </is>
      </c>
      <c r="M2" s="2" t="inlineStr">
        <is>
          <t>page metadata</t>
        </is>
      </c>
      <c r="N2" s="2" t="n">
        <v>753</v>
      </c>
      <c r="O2" s="2" t="inlineStr"/>
      <c r="P2" s="2" t="inlineStr">
        <is>
          <t>Climate; Climate Change; Environment; Temperature</t>
        </is>
      </c>
      <c r="Q2" s="2" t="inlineStr"/>
      <c r="R2" s="2" t="inlineStr">
        <is>
          <t>Julie Dabrusin</t>
        </is>
      </c>
    </row>
    <row r="3">
      <c r="A3" s="2" t="inlineStr">
        <is>
          <t>2026-04</t>
        </is>
      </c>
      <c r="B3" s="4" t="n">
        <v>46128</v>
      </c>
      <c r="C3" s="2" t="inlineStr">
        <is>
          <t>Post-withdrawal</t>
        </is>
      </c>
      <c r="D3" s="2" t="inlineStr">
        <is>
          <t>Canada</t>
        </is>
      </c>
      <c r="E3" s="2" t="inlineStr">
        <is>
          <t>Ministry of Environment</t>
        </is>
      </c>
      <c r="F3" s="2" t="inlineStr">
        <is>
          <t>canada.ca</t>
        </is>
      </c>
      <c r="G3" s="2" t="inlineStr">
        <is>
          <t>Environment and Climate Change Canada to hold a technical briefing ahead of the Petersberg Climate Dialogue and the G7 Environment Ministers’ Meeting</t>
        </is>
      </c>
      <c r="H3" s="5" t="inlineStr">
        <is>
          <t>https://www.canada.ca/en/environment-climate-change/news/2026/04/environment-and-climate-change-canada-to-hold-a-technical-briefing-ahead-of-the-petersberg-climate-dialogue-and-the-g7-environment-ministers-meeting.html</t>
        </is>
      </c>
      <c r="I3" s="2" t="inlineStr">
        <is>
          <t>Climate; Climate Change; Environment</t>
        </is>
      </c>
      <c r="J3" s="2" t="n">
        <v>3</v>
      </c>
      <c r="K3" s="2" t="inlineStr">
        <is>
          <t>No</t>
        </is>
      </c>
      <c r="L3" s="2" t="inlineStr"/>
      <c r="M3" s="2" t="inlineStr">
        <is>
          <t>page metadata</t>
        </is>
      </c>
      <c r="N3" s="2" t="n">
        <v>187</v>
      </c>
      <c r="O3" s="2" t="inlineStr"/>
      <c r="P3" s="2" t="inlineStr">
        <is>
          <t>Climate; Climate Change; Environment</t>
        </is>
      </c>
      <c r="Q3" s="2" t="inlineStr"/>
      <c r="R3" s="2" t="inlineStr"/>
    </row>
    <row r="4">
      <c r="A4" s="2" t="inlineStr">
        <is>
          <t>2026-04</t>
        </is>
      </c>
      <c r="B4" s="4" t="n">
        <v>46129</v>
      </c>
      <c r="C4" s="2" t="inlineStr">
        <is>
          <t>Post-withdrawal</t>
        </is>
      </c>
      <c r="D4" s="2" t="inlineStr">
        <is>
          <t>Canada</t>
        </is>
      </c>
      <c r="E4" s="2" t="inlineStr">
        <is>
          <t>Ministry of Environment</t>
        </is>
      </c>
      <c r="F4" s="2" t="inlineStr">
        <is>
          <t>canada.ca</t>
        </is>
      </c>
      <c r="G4" s="2" t="inlineStr">
        <is>
          <t>Minister Dabrusin to champion climate competitiveness, clean growth, and nature protection at G7</t>
        </is>
      </c>
      <c r="H4" s="5" t="inlineStr">
        <is>
          <t>https://www.canada.ca/en/environment-climate-change/news/2026/04/minister-dabrusin-to-champion-climate-competitiveness-clean-growth-and-nature-protection-at-g7.html</t>
        </is>
      </c>
      <c r="I4" s="2" t="inlineStr">
        <is>
          <t>COP; Climate; Climate Change; Environment; Julie Dabrusin; commitments; emissions; energy; transition</t>
        </is>
      </c>
      <c r="J4" s="2" t="n">
        <v>9</v>
      </c>
      <c r="K4" s="2" t="inlineStr">
        <is>
          <t>Yes</t>
        </is>
      </c>
      <c r="L4" s="2" t="inlineStr">
        <is>
          <t>Canada</t>
        </is>
      </c>
      <c r="M4" s="2" t="inlineStr">
        <is>
          <t>page metadata</t>
        </is>
      </c>
      <c r="N4" s="2" t="n">
        <v>852</v>
      </c>
      <c r="O4" s="2" t="inlineStr"/>
      <c r="P4" s="2" t="inlineStr">
        <is>
          <t>Climate; Climate Change; Environment; commitments; emissions; energy; transition</t>
        </is>
      </c>
      <c r="Q4" s="2" t="inlineStr">
        <is>
          <t>COP</t>
        </is>
      </c>
      <c r="R4" s="2" t="inlineStr">
        <is>
          <t>Julie Dabrusin</t>
        </is>
      </c>
    </row>
    <row r="5">
      <c r="A5" s="2" t="inlineStr">
        <is>
          <t>2026-04</t>
        </is>
      </c>
      <c r="B5" s="4" t="n">
        <v>46135</v>
      </c>
      <c r="C5" s="2" t="inlineStr">
        <is>
          <t>Post-withdrawal</t>
        </is>
      </c>
      <c r="D5" s="2" t="inlineStr">
        <is>
          <t>Canada</t>
        </is>
      </c>
      <c r="E5" s="2" t="inlineStr">
        <is>
          <t>Ministry of Environment</t>
        </is>
      </c>
      <c r="F5" s="2" t="inlineStr">
        <is>
          <t>canada.ca</t>
        </is>
      </c>
      <c r="G5" s="2" t="inlineStr">
        <is>
          <t>Parliamentary Secretary Myles to highlight Canada’s new nature strategy in Fredericton</t>
        </is>
      </c>
      <c r="H5" s="5" t="inlineStr">
        <is>
          <t>https://www.canada.ca/en/environment-climate-change/news/2026/04/parliamentary-secretary-myles-to-highlight-canadas-new-nature-strategy-in-fredericton.html</t>
        </is>
      </c>
      <c r="I5" s="2" t="inlineStr">
        <is>
          <t>Climate; Climate Change; Environment; Julie Dabrusin; Nathalie Provost</t>
        </is>
      </c>
      <c r="J5" s="2" t="n">
        <v>5</v>
      </c>
      <c r="K5" s="2" t="inlineStr">
        <is>
          <t>Yes</t>
        </is>
      </c>
      <c r="L5" s="2" t="inlineStr">
        <is>
          <t>Canada</t>
        </is>
      </c>
      <c r="M5" s="2" t="inlineStr">
        <is>
          <t>page metadata</t>
        </is>
      </c>
      <c r="N5" s="2" t="n">
        <v>163</v>
      </c>
      <c r="O5" s="2" t="inlineStr"/>
      <c r="P5" s="2" t="inlineStr">
        <is>
          <t>Climate; Climate Change; Environment</t>
        </is>
      </c>
      <c r="Q5" s="2" t="inlineStr"/>
      <c r="R5" s="2" t="inlineStr">
        <is>
          <t>Julie Dabrusin; Nathalie Provost</t>
        </is>
      </c>
    </row>
    <row r="6">
      <c r="A6" s="2" t="inlineStr">
        <is>
          <t>2026-04</t>
        </is>
      </c>
      <c r="B6" s="4" t="n">
        <v>46136</v>
      </c>
      <c r="C6" s="2" t="inlineStr">
        <is>
          <t>Post-withdrawal</t>
        </is>
      </c>
      <c r="D6" s="2" t="inlineStr">
        <is>
          <t>Canada</t>
        </is>
      </c>
      <c r="E6" s="2" t="inlineStr">
        <is>
          <t>Ministry of Environment</t>
        </is>
      </c>
      <c r="F6" s="2" t="inlineStr">
        <is>
          <t>canada.ca</t>
        </is>
      </c>
      <c r="G6" s="2" t="inlineStr">
        <is>
          <t>A Force of Nature: Canada’s Strategy to Protect Nature</t>
        </is>
      </c>
      <c r="H6" s="5" t="inlineStr">
        <is>
          <t>https://www.canada.ca/en/environment-climate-change/news/2026/04/a-force-of-nature-canadas-strategy-to-protect-nature.html</t>
        </is>
      </c>
      <c r="I6" s="2" t="inlineStr">
        <is>
          <t>Climate; Climate Change; Environment; Julie Dabrusin; Nathalie Provost; commitments; energy</t>
        </is>
      </c>
      <c r="J6" s="2" t="n">
        <v>7</v>
      </c>
      <c r="K6" s="2" t="inlineStr">
        <is>
          <t>Yes</t>
        </is>
      </c>
      <c r="L6" s="2" t="inlineStr">
        <is>
          <t>Canada</t>
        </is>
      </c>
      <c r="M6" s="2" t="inlineStr">
        <is>
          <t>page metadata</t>
        </is>
      </c>
      <c r="N6" s="2" t="n">
        <v>958</v>
      </c>
      <c r="O6" s="2" t="inlineStr"/>
      <c r="P6" s="2" t="inlineStr">
        <is>
          <t>Climate; Climate Change; Environment; commitments; energy</t>
        </is>
      </c>
      <c r="Q6" s="2" t="inlineStr"/>
      <c r="R6" s="2" t="inlineStr">
        <is>
          <t>Julie Dabrusin; Nathalie Provost</t>
        </is>
      </c>
    </row>
    <row r="7">
      <c r="A7" s="2" t="inlineStr">
        <is>
          <t>2026-04</t>
        </is>
      </c>
      <c r="B7" s="4" t="n">
        <v>46136</v>
      </c>
      <c r="C7" s="2" t="inlineStr">
        <is>
          <t>Post-withdrawal</t>
        </is>
      </c>
      <c r="D7" s="2" t="inlineStr">
        <is>
          <t>Canada</t>
        </is>
      </c>
      <c r="E7" s="2" t="inlineStr">
        <is>
          <t>Ministry of Environment</t>
        </is>
      </c>
      <c r="F7" s="2" t="inlineStr">
        <is>
          <t>canada.ca</t>
        </is>
      </c>
      <c r="G7" s="2" t="inlineStr">
        <is>
          <t>A Force of Nature: Canada’s Strategy to Protect Nature</t>
        </is>
      </c>
      <c r="H7" s="5" t="inlineStr">
        <is>
          <t>https://www.canada.ca/en/environment-climate-change/news/2026/04/a-force-of-nature-canadas-strategy-to-protect-nature0.html</t>
        </is>
      </c>
      <c r="I7" s="2" t="inlineStr">
        <is>
          <t>carbon; energy</t>
        </is>
      </c>
      <c r="J7" s="2" t="n">
        <v>2</v>
      </c>
      <c r="K7" s="2" t="inlineStr">
        <is>
          <t>No</t>
        </is>
      </c>
      <c r="L7" s="2" t="inlineStr"/>
      <c r="M7" s="2" t="inlineStr">
        <is>
          <t>page metadata</t>
        </is>
      </c>
      <c r="N7" s="2" t="n">
        <v>925</v>
      </c>
      <c r="O7" s="2" t="inlineStr"/>
      <c r="P7" s="2" t="inlineStr">
        <is>
          <t>carbon; energy</t>
        </is>
      </c>
      <c r="Q7" s="2" t="inlineStr"/>
      <c r="R7" s="2" t="inlineStr"/>
    </row>
    <row r="8">
      <c r="A8" s="2" t="inlineStr">
        <is>
          <t>2026-04</t>
        </is>
      </c>
      <c r="B8" s="4" t="n">
        <v>46136</v>
      </c>
      <c r="C8" s="2" t="inlineStr">
        <is>
          <t>Post-withdrawal</t>
        </is>
      </c>
      <c r="D8" s="2" t="inlineStr">
        <is>
          <t>Canada</t>
        </is>
      </c>
      <c r="E8" s="2" t="inlineStr">
        <is>
          <t>Ministry of Environment</t>
        </is>
      </c>
      <c r="F8" s="2" t="inlineStr">
        <is>
          <t>canada.ca</t>
        </is>
      </c>
      <c r="G8" s="2" t="inlineStr">
        <is>
          <t>Canada and Japan launch new actions to tackle methane, plastic pollution, and biodiversity loss</t>
        </is>
      </c>
      <c r="H8" s="5" t="inlineStr">
        <is>
          <t>https://www.canada.ca/en/environment-climate-change/news/2026/04/canada-and-japan-launch-new-actions-to-tackle-methane-plastic-pollution-and-biodiversity-loss.html</t>
        </is>
      </c>
      <c r="I8" s="2" t="inlineStr">
        <is>
          <t>COP; Climate; Climate Change; Environment; Julie Dabrusin; Paris Agreement; commitments; emissions; energy; transition</t>
        </is>
      </c>
      <c r="J8" s="2" t="n">
        <v>10</v>
      </c>
      <c r="K8" s="2" t="inlineStr">
        <is>
          <t>Yes</t>
        </is>
      </c>
      <c r="L8" s="2" t="inlineStr">
        <is>
          <t>Canada</t>
        </is>
      </c>
      <c r="M8" s="2" t="inlineStr">
        <is>
          <t>page metadata</t>
        </is>
      </c>
      <c r="N8" s="2" t="n">
        <v>773</v>
      </c>
      <c r="O8" s="2" t="inlineStr"/>
      <c r="P8" s="2" t="inlineStr">
        <is>
          <t>Climate; Climate Change; Environment; commitments; emissions; energy; transition</t>
        </is>
      </c>
      <c r="Q8" s="2" t="inlineStr">
        <is>
          <t>COP; Paris Agreement</t>
        </is>
      </c>
      <c r="R8" s="2" t="inlineStr">
        <is>
          <t>Julie Dabrusin</t>
        </is>
      </c>
    </row>
    <row r="9">
      <c r="A9" s="2" t="inlineStr">
        <is>
          <t>2026-04</t>
        </is>
      </c>
      <c r="B9" s="4" t="n">
        <v>46136</v>
      </c>
      <c r="C9" s="2" t="inlineStr">
        <is>
          <t>Post-withdrawal</t>
        </is>
      </c>
      <c r="D9" s="2" t="inlineStr">
        <is>
          <t>Canada</t>
        </is>
      </c>
      <c r="E9" s="2" t="inlineStr">
        <is>
          <t>Ministry of Environment</t>
        </is>
      </c>
      <c r="F9" s="2" t="inlineStr">
        <is>
          <t>canada.ca</t>
        </is>
      </c>
      <c r="G9" s="2" t="inlineStr">
        <is>
          <t>Minister Dabrusin champions a resilient, sustainable future at international environment talks</t>
        </is>
      </c>
      <c r="H9" s="5" t="inlineStr">
        <is>
          <t>https://www.canada.ca/en/environment-climate-change/news/2026/04/minister-dabrusin-champions-a-resilient-sustainable-future-at-international-environment-talks.html</t>
        </is>
      </c>
      <c r="I9" s="2" t="inlineStr">
        <is>
          <t>CBAM; COP; Climate; Climate Change; Environment; Julie Dabrusin; Paris Agreement; carbon; commitments; emissions; energy; greenhouse gas; renewable energy; transition</t>
        </is>
      </c>
      <c r="J9" s="2" t="n">
        <v>14</v>
      </c>
      <c r="K9" s="2" t="inlineStr">
        <is>
          <t>Yes</t>
        </is>
      </c>
      <c r="L9" s="2" t="inlineStr">
        <is>
          <t>Canada</t>
        </is>
      </c>
      <c r="M9" s="2" t="inlineStr">
        <is>
          <t>page metadata</t>
        </is>
      </c>
      <c r="N9" s="2" t="n">
        <v>1144</v>
      </c>
      <c r="O9" s="2" t="inlineStr">
        <is>
          <t>CBAM</t>
        </is>
      </c>
      <c r="P9" s="2" t="inlineStr">
        <is>
          <t>Climate; Climate Change; Environment; carbon; commitments; emissions; energy; greenhouse gas; renewable energy; transition</t>
        </is>
      </c>
      <c r="Q9" s="2" t="inlineStr">
        <is>
          <t>COP; Paris Agreement</t>
        </is>
      </c>
      <c r="R9" s="2" t="inlineStr">
        <is>
          <t>Julie Dabrusin</t>
        </is>
      </c>
    </row>
  </sheetData>
  <autoFilter ref="A1:R9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6" customWidth="1" min="4" max="4"/>
    <col width="22" customWidth="1" min="5" max="5"/>
    <col width="26" customWidth="1" min="6" max="6"/>
    <col width="60" customWidth="1" min="7" max="7"/>
    <col width="50" customWidth="1" min="8" max="8"/>
    <col width="45" customWidth="1" min="9" max="9"/>
    <col width="10" customWidth="1" min="10" max="10"/>
    <col width="10" customWidth="1" min="11" max="11"/>
    <col width="18" customWidth="1" min="12" max="12"/>
    <col width="16" customWidth="1" min="13" max="13"/>
    <col width="10" customWidth="1" min="14" max="14"/>
    <col width="28" customWidth="1" min="15" max="15"/>
    <col width="28" customWidth="1" min="16" max="16"/>
    <col width="28" customWidth="1" min="17" max="17"/>
    <col width="28" customWidth="1" min="18" max="18"/>
  </cols>
  <sheetData>
    <row r="1">
      <c r="A1" s="1" t="inlineStr">
        <is>
          <t>Month</t>
        </is>
      </c>
      <c r="B1" s="1" t="inlineStr">
        <is>
          <t>Date</t>
        </is>
      </c>
      <c r="C1" s="1" t="inlineStr">
        <is>
          <t>Period</t>
        </is>
      </c>
      <c r="D1" s="1" t="inlineStr">
        <is>
          <t>Country</t>
        </is>
      </c>
      <c r="E1" s="1" t="inlineStr">
        <is>
          <t>Source Type</t>
        </is>
      </c>
      <c r="F1" s="1" t="inlineStr">
        <is>
          <t>Site</t>
        </is>
      </c>
      <c r="G1" s="1" t="inlineStr">
        <is>
          <t>Title</t>
        </is>
      </c>
      <c r="H1" s="1" t="inlineStr">
        <is>
          <t>URL</t>
        </is>
      </c>
      <c r="I1" s="1" t="inlineStr">
        <is>
          <t>Matched Keywords</t>
        </is>
      </c>
      <c r="J1" s="1" t="inlineStr">
        <is>
          <t>Keyword Count</t>
        </is>
      </c>
      <c r="K1" s="1" t="inlineStr">
        <is>
          <t>Strong Match</t>
        </is>
      </c>
      <c r="L1" s="1" t="inlineStr">
        <is>
          <t>Minister/Person Country</t>
        </is>
      </c>
      <c r="M1" s="1" t="inlineStr">
        <is>
          <t>Date Source</t>
        </is>
      </c>
      <c r="N1" s="1" t="inlineStr">
        <is>
          <t>Word Count</t>
        </is>
      </c>
      <c r="O1" s="1" t="inlineStr">
        <is>
          <t>Regulatory Bodies hits</t>
        </is>
      </c>
      <c r="P1" s="1" t="inlineStr">
        <is>
          <t>Adjective Indicators hits</t>
        </is>
      </c>
      <c r="Q1" s="1" t="inlineStr">
        <is>
          <t>Organizations/Alliances hits</t>
        </is>
      </c>
      <c r="R1" s="1" t="inlineStr">
        <is>
          <t>Event/Person hits</t>
        </is>
      </c>
    </row>
    <row r="2">
      <c r="A2" s="2" t="inlineStr">
        <is>
          <t>2026-05</t>
        </is>
      </c>
      <c r="B2" s="4" t="n">
        <v>46149</v>
      </c>
      <c r="C2" s="2" t="inlineStr">
        <is>
          <t>Post-withdrawal</t>
        </is>
      </c>
      <c r="D2" s="2" t="inlineStr">
        <is>
          <t>Canada</t>
        </is>
      </c>
      <c r="E2" s="2" t="inlineStr">
        <is>
          <t>Ministry of Environment</t>
        </is>
      </c>
      <c r="F2" s="2" t="inlineStr">
        <is>
          <t>canada.ca</t>
        </is>
      </c>
      <c r="G2" s="2" t="inlineStr">
        <is>
          <t>Secretary of State (Nature) Nathalie Provost will highlight Canada’s new nature strategy in the Estrie region</t>
        </is>
      </c>
      <c r="H2" s="5" t="inlineStr">
        <is>
          <t>https://www.canada.ca/en/environment-climate-change/news/2026/05/secretary-of-state-nature-nathalie-provost-will-highlight-canadas-new-nature-strategy-in-the-estrie-region.html</t>
        </is>
      </c>
      <c r="I2" s="2" t="inlineStr">
        <is>
          <t>Climate; Climate Change; Environment; Julie Dabrusin; Nathalie Provost</t>
        </is>
      </c>
      <c r="J2" s="2" t="n">
        <v>5</v>
      </c>
      <c r="K2" s="2" t="inlineStr">
        <is>
          <t>Yes</t>
        </is>
      </c>
      <c r="L2" s="2" t="inlineStr">
        <is>
          <t>Canada</t>
        </is>
      </c>
      <c r="M2" s="2" t="inlineStr">
        <is>
          <t>page metadata</t>
        </is>
      </c>
      <c r="N2" s="2" t="n">
        <v>168</v>
      </c>
      <c r="O2" s="2" t="inlineStr"/>
      <c r="P2" s="2" t="inlineStr">
        <is>
          <t>Climate; Climate Change; Environment</t>
        </is>
      </c>
      <c r="Q2" s="2" t="inlineStr"/>
      <c r="R2" s="2" t="inlineStr">
        <is>
          <t>Julie Dabrusin; Nathalie Provost</t>
        </is>
      </c>
    </row>
    <row r="3">
      <c r="A3" s="2" t="inlineStr">
        <is>
          <t>2026-05</t>
        </is>
      </c>
      <c r="B3" s="4" t="n">
        <v>46149</v>
      </c>
      <c r="C3" s="2" t="inlineStr">
        <is>
          <t>Post-withdrawal</t>
        </is>
      </c>
      <c r="D3" s="2" t="inlineStr">
        <is>
          <t>UK</t>
        </is>
      </c>
      <c r="E3" s="2" t="inlineStr">
        <is>
          <t>Ministry of Environment</t>
        </is>
      </c>
      <c r="F3" s="2" t="inlineStr">
        <is>
          <t>gov.uk</t>
        </is>
      </c>
      <c r="G3" s="2" t="inlineStr">
        <is>
          <t>WF6 1TP, Citron Hygiene UK Limited: environmental surrender issued - EPR/WE0090AB/S004</t>
        </is>
      </c>
      <c r="H3" s="5" t="inlineStr">
        <is>
          <t>https://www.gov.uk/government/publications/wf6-1tp-citron-hygiene-uk-limited-environmental-surrender-issued-eprwe0090abs004</t>
        </is>
      </c>
      <c r="I3" s="2" t="inlineStr">
        <is>
          <t>Environment; emissions</t>
        </is>
      </c>
      <c r="J3" s="2" t="n">
        <v>2</v>
      </c>
      <c r="K3" s="2" t="inlineStr">
        <is>
          <t>No</t>
        </is>
      </c>
      <c r="L3" s="2" t="inlineStr"/>
      <c r="M3" s="2" t="inlineStr">
        <is>
          <t>GOV.UK API</t>
        </is>
      </c>
      <c r="N3" s="2" t="n">
        <v>73</v>
      </c>
      <c r="O3" s="2" t="inlineStr"/>
      <c r="P3" s="2" t="inlineStr">
        <is>
          <t>Environment; emissions</t>
        </is>
      </c>
      <c r="Q3" s="2" t="inlineStr"/>
      <c r="R3" s="2" t="inlineStr"/>
    </row>
    <row r="4">
      <c r="A4" s="2" t="inlineStr">
        <is>
          <t>2026-05</t>
        </is>
      </c>
      <c r="B4" s="4" t="n">
        <v>46150</v>
      </c>
      <c r="C4" s="2" t="inlineStr">
        <is>
          <t>Post-withdrawal</t>
        </is>
      </c>
      <c r="D4" s="2" t="inlineStr">
        <is>
          <t>Canada</t>
        </is>
      </c>
      <c r="E4" s="2" t="inlineStr">
        <is>
          <t>Ministry of Environment</t>
        </is>
      </c>
      <c r="F4" s="2" t="inlineStr">
        <is>
          <t>canada.ca</t>
        </is>
      </c>
      <c r="G4" s="2" t="inlineStr">
        <is>
          <t>A Force of Nature: Canada’s Strategy to Protect Nature</t>
        </is>
      </c>
      <c r="H4" s="5" t="inlineStr">
        <is>
          <t>https://www.canada.ca/en/environment-climate-change/news/2026/05/a-force-of-nature-canadas-strategy-to-protect-nature.html</t>
        </is>
      </c>
      <c r="I4" s="2" t="inlineStr">
        <is>
          <t>Climate; Climate Change; Environment; Julie Dabrusin; Nathalie Provost; Sustainable Economy; commitments; energy</t>
        </is>
      </c>
      <c r="J4" s="2" t="n">
        <v>8</v>
      </c>
      <c r="K4" s="2" t="inlineStr">
        <is>
          <t>Yes</t>
        </is>
      </c>
      <c r="L4" s="2" t="inlineStr">
        <is>
          <t>Canada</t>
        </is>
      </c>
      <c r="M4" s="2" t="inlineStr">
        <is>
          <t>page metadata</t>
        </is>
      </c>
      <c r="N4" s="2" t="n">
        <v>1187</v>
      </c>
      <c r="O4" s="2" t="inlineStr"/>
      <c r="P4" s="2" t="inlineStr">
        <is>
          <t>Climate; Climate Change; Environment; Sustainable Economy; commitments; energy</t>
        </is>
      </c>
      <c r="Q4" s="2" t="inlineStr"/>
      <c r="R4" s="2" t="inlineStr">
        <is>
          <t>Julie Dabrusin; Nathalie Provost</t>
        </is>
      </c>
    </row>
    <row r="5">
      <c r="A5" s="2" t="inlineStr">
        <is>
          <t>2026-05</t>
        </is>
      </c>
      <c r="B5" s="4" t="n">
        <v>46150</v>
      </c>
      <c r="C5" s="2" t="inlineStr">
        <is>
          <t>Post-withdrawal</t>
        </is>
      </c>
      <c r="D5" s="2" t="inlineStr">
        <is>
          <t>Canada</t>
        </is>
      </c>
      <c r="E5" s="2" t="inlineStr">
        <is>
          <t>Ministry of Environment</t>
        </is>
      </c>
      <c r="F5" s="2" t="inlineStr">
        <is>
          <t>canada.ca</t>
        </is>
      </c>
      <c r="G5" s="2" t="inlineStr">
        <is>
          <t>Minister Dabrusin’s statement on World Migratory Bird Day</t>
        </is>
      </c>
      <c r="H5" s="5" t="inlineStr">
        <is>
          <t>https://www.canada.ca/en/environment-climate-change/news/2026/05/minister-dabrusins-statement-on-world-migratory-bird-day.html</t>
        </is>
      </c>
      <c r="I5" s="2" t="inlineStr">
        <is>
          <t>Climate; Climate Change; Environment; Julie Dabrusin; commitments</t>
        </is>
      </c>
      <c r="J5" s="2" t="n">
        <v>5</v>
      </c>
      <c r="K5" s="2" t="inlineStr">
        <is>
          <t>Yes</t>
        </is>
      </c>
      <c r="L5" s="2" t="inlineStr">
        <is>
          <t>Canada</t>
        </is>
      </c>
      <c r="M5" s="2" t="inlineStr">
        <is>
          <t>page metadata</t>
        </is>
      </c>
      <c r="N5" s="2" t="n">
        <v>386</v>
      </c>
      <c r="O5" s="2" t="inlineStr"/>
      <c r="P5" s="2" t="inlineStr">
        <is>
          <t>Climate; Climate Change; Environment; commitments</t>
        </is>
      </c>
      <c r="Q5" s="2" t="inlineStr"/>
      <c r="R5" s="2" t="inlineStr">
        <is>
          <t>Julie Dabrusin</t>
        </is>
      </c>
    </row>
    <row r="6">
      <c r="A6" s="2" t="inlineStr">
        <is>
          <t>2026-05</t>
        </is>
      </c>
      <c r="B6" s="4" t="n">
        <v>46150</v>
      </c>
      <c r="C6" s="2" t="inlineStr">
        <is>
          <t>Post-withdrawal</t>
        </is>
      </c>
      <c r="D6" s="2" t="inlineStr">
        <is>
          <t>Canada</t>
        </is>
      </c>
      <c r="E6" s="2" t="inlineStr">
        <is>
          <t>Ministry of Environment</t>
        </is>
      </c>
      <c r="F6" s="2" t="inlineStr">
        <is>
          <t>canada.ca</t>
        </is>
      </c>
      <c r="G6" s="2" t="inlineStr">
        <is>
          <t>Transport Desgagnés Inc. fined $40,000 for Canada Wildlife Act violations in Nunavut</t>
        </is>
      </c>
      <c r="H6" s="5" t="inlineStr">
        <is>
          <t>https://www.canada.ca/en/environment-climate-change/news/2026/05/transport-desgagnes-inc-fined-40000-for-canada-wildlife-act-violations-in-nunavut.html</t>
        </is>
      </c>
      <c r="I6" s="2" t="inlineStr">
        <is>
          <t>Climate; Climate Change; Environment</t>
        </is>
      </c>
      <c r="J6" s="2" t="n">
        <v>3</v>
      </c>
      <c r="K6" s="2" t="inlineStr">
        <is>
          <t>No</t>
        </is>
      </c>
      <c r="L6" s="2" t="inlineStr"/>
      <c r="M6" s="2" t="inlineStr">
        <is>
          <t>page metadata</t>
        </is>
      </c>
      <c r="N6" s="2" t="n">
        <v>569</v>
      </c>
      <c r="O6" s="2" t="inlineStr"/>
      <c r="P6" s="2" t="inlineStr">
        <is>
          <t>Climate; Climate Change; Environment</t>
        </is>
      </c>
      <c r="Q6" s="2" t="inlineStr"/>
      <c r="R6" s="2" t="inlineStr"/>
    </row>
    <row r="7">
      <c r="A7" s="2" t="inlineStr">
        <is>
          <t>2026-05</t>
        </is>
      </c>
      <c r="B7" s="4" t="n">
        <v>46153</v>
      </c>
      <c r="C7" s="2" t="inlineStr">
        <is>
          <t>Post-withdrawal</t>
        </is>
      </c>
      <c r="D7" s="2" t="inlineStr">
        <is>
          <t>Canada</t>
        </is>
      </c>
      <c r="E7" s="2" t="inlineStr">
        <is>
          <t>Ministry of Environment</t>
        </is>
      </c>
      <c r="F7" s="2" t="inlineStr">
        <is>
          <t>canada.ca</t>
        </is>
      </c>
      <c r="G7" s="2" t="inlineStr">
        <is>
          <t>Secretary of State (Nature) Provost will highlight Canada’s new nature strategy in Victoria</t>
        </is>
      </c>
      <c r="H7" s="5" t="inlineStr">
        <is>
          <t>https://www.canada.ca/en/environment-climate-change/news/2026/05/secretary-of-state-nature-provost-will-highlight-canadas-new-nature-strategy-in-victoria.html</t>
        </is>
      </c>
      <c r="I7" s="2" t="inlineStr">
        <is>
          <t>Climate; Climate Change; Environment; Nathalie Provost</t>
        </is>
      </c>
      <c r="J7" s="2" t="n">
        <v>4</v>
      </c>
      <c r="K7" s="2" t="inlineStr">
        <is>
          <t>Yes</t>
        </is>
      </c>
      <c r="L7" s="2" t="inlineStr">
        <is>
          <t>Canada</t>
        </is>
      </c>
      <c r="M7" s="2" t="inlineStr">
        <is>
          <t>page metadata</t>
        </is>
      </c>
      <c r="N7" s="2" t="n">
        <v>144</v>
      </c>
      <c r="O7" s="2" t="inlineStr"/>
      <c r="P7" s="2" t="inlineStr">
        <is>
          <t>Climate; Climate Change; Environment</t>
        </is>
      </c>
      <c r="Q7" s="2" t="inlineStr"/>
      <c r="R7" s="2" t="inlineStr">
        <is>
          <t>Nathalie Provost</t>
        </is>
      </c>
    </row>
    <row r="8">
      <c r="A8" s="2" t="inlineStr">
        <is>
          <t>2026-05</t>
        </is>
      </c>
      <c r="B8" s="4" t="n">
        <v>46154</v>
      </c>
      <c r="C8" s="2" t="inlineStr">
        <is>
          <t>Post-withdrawal</t>
        </is>
      </c>
      <c r="D8" s="2" t="inlineStr">
        <is>
          <t>Canada</t>
        </is>
      </c>
      <c r="E8" s="2" t="inlineStr">
        <is>
          <t>Ministry of Environment</t>
        </is>
      </c>
      <c r="F8" s="2" t="inlineStr">
        <is>
          <t>canada.ca</t>
        </is>
      </c>
      <c r="G8" s="2" t="inlineStr">
        <is>
          <t>A Force of Nature: Canada’s Strategy to Protect Nature</t>
        </is>
      </c>
      <c r="H8" s="5" t="inlineStr">
        <is>
          <t>https://www.canada.ca/en/environment-climate-change/news/2026/05/a-force-of-nature-canadas-strategy-to-protect-nature0.html</t>
        </is>
      </c>
      <c r="I8" s="2" t="inlineStr">
        <is>
          <t>Climate; Climate Change; Environment; Julie Dabrusin; Nathalie Provost; commitments; energy</t>
        </is>
      </c>
      <c r="J8" s="2" t="n">
        <v>7</v>
      </c>
      <c r="K8" s="2" t="inlineStr">
        <is>
          <t>Yes</t>
        </is>
      </c>
      <c r="L8" s="2" t="inlineStr">
        <is>
          <t>Canada</t>
        </is>
      </c>
      <c r="M8" s="2" t="inlineStr">
        <is>
          <t>page metadata</t>
        </is>
      </c>
      <c r="N8" s="2" t="n">
        <v>938</v>
      </c>
      <c r="O8" s="2" t="inlineStr"/>
      <c r="P8" s="2" t="inlineStr">
        <is>
          <t>Climate; Climate Change; Environment; commitments; energy</t>
        </is>
      </c>
      <c r="Q8" s="2" t="inlineStr"/>
      <c r="R8" s="2" t="inlineStr">
        <is>
          <t>Julie Dabrusin; Nathalie Provost</t>
        </is>
      </c>
    </row>
    <row r="9">
      <c r="A9" s="2" t="inlineStr">
        <is>
          <t>2026-05</t>
        </is>
      </c>
      <c r="B9" s="4" t="n">
        <v>46154</v>
      </c>
      <c r="C9" s="2" t="inlineStr">
        <is>
          <t>Post-withdrawal</t>
        </is>
      </c>
      <c r="D9" s="2" t="inlineStr">
        <is>
          <t>Canada</t>
        </is>
      </c>
      <c r="E9" s="2" t="inlineStr">
        <is>
          <t>Ministry of Environment</t>
        </is>
      </c>
      <c r="F9" s="2" t="inlineStr">
        <is>
          <t>canada.ca</t>
        </is>
      </c>
      <c r="G9" s="2" t="inlineStr">
        <is>
          <t>Government of Canada supports six new research projects to explore impacts of plastic pollution on Indigenous communities</t>
        </is>
      </c>
      <c r="H9" s="5" t="inlineStr">
        <is>
          <t>https://www.canada.ca/en/environment-climate-change/news/2026/05/government-of-canada-supports-six-new-research-projects-to-explore-impacts-of-plastic-pollution-on-indigenous-communities.html</t>
        </is>
      </c>
      <c r="I9" s="2" t="inlineStr">
        <is>
          <t>Climate; Climate Change; Environment; Julie Dabrusin</t>
        </is>
      </c>
      <c r="J9" s="2" t="n">
        <v>4</v>
      </c>
      <c r="K9" s="2" t="inlineStr">
        <is>
          <t>Yes</t>
        </is>
      </c>
      <c r="L9" s="2" t="inlineStr">
        <is>
          <t>Canada</t>
        </is>
      </c>
      <c r="M9" s="2" t="inlineStr">
        <is>
          <t>page metadata</t>
        </is>
      </c>
      <c r="N9" s="2" t="n">
        <v>787</v>
      </c>
      <c r="O9" s="2" t="inlineStr"/>
      <c r="P9" s="2" t="inlineStr">
        <is>
          <t>Climate; Climate Change; Environment</t>
        </is>
      </c>
      <c r="Q9" s="2" t="inlineStr"/>
      <c r="R9" s="2" t="inlineStr">
        <is>
          <t>Julie Dabrusin</t>
        </is>
      </c>
    </row>
    <row r="10">
      <c r="A10" s="2" t="inlineStr">
        <is>
          <t>2026-05</t>
        </is>
      </c>
      <c r="B10" s="4" t="n">
        <v>46155</v>
      </c>
      <c r="C10" s="2" t="inlineStr">
        <is>
          <t>Post-withdrawal</t>
        </is>
      </c>
      <c r="D10" s="2" t="inlineStr">
        <is>
          <t>UK</t>
        </is>
      </c>
      <c r="E10" s="2" t="inlineStr">
        <is>
          <t>Ministry of Environment</t>
        </is>
      </c>
      <c r="F10" s="2" t="inlineStr">
        <is>
          <t>gov.uk</t>
        </is>
      </c>
      <c r="G10" s="2" t="inlineStr">
        <is>
          <t>Environment Agency puts brakes on illegal waste site</t>
        </is>
      </c>
      <c r="H10" s="5" t="inlineStr">
        <is>
          <t>https://www.gov.uk/government/news/environment-agency-puts-brakes-on-illegal-waste-site</t>
        </is>
      </c>
      <c r="I10" s="2" t="inlineStr">
        <is>
          <t>Environment</t>
        </is>
      </c>
      <c r="J10" s="2" t="n">
        <v>1</v>
      </c>
      <c r="K10" s="2" t="inlineStr">
        <is>
          <t>No</t>
        </is>
      </c>
      <c r="L10" s="2" t="inlineStr"/>
      <c r="M10" s="2" t="inlineStr">
        <is>
          <t>GOV.UK API</t>
        </is>
      </c>
      <c r="N10" s="2" t="n">
        <v>450</v>
      </c>
      <c r="O10" s="2" t="inlineStr"/>
      <c r="P10" s="2" t="inlineStr">
        <is>
          <t>Environment</t>
        </is>
      </c>
      <c r="Q10" s="2" t="inlineStr"/>
      <c r="R10" s="2" t="inlineStr"/>
    </row>
    <row r="11">
      <c r="A11" s="2" t="inlineStr">
        <is>
          <t>2026-05</t>
        </is>
      </c>
      <c r="B11" s="4" t="n">
        <v>46156</v>
      </c>
      <c r="C11" s="2" t="inlineStr">
        <is>
          <t>Post-withdrawal</t>
        </is>
      </c>
      <c r="D11" s="2" t="inlineStr">
        <is>
          <t>UK</t>
        </is>
      </c>
      <c r="E11" s="2" t="inlineStr">
        <is>
          <t>Ministry of Environment</t>
        </is>
      </c>
      <c r="F11" s="2" t="inlineStr">
        <is>
          <t>gov.uk</t>
        </is>
      </c>
      <c r="G11" s="2" t="inlineStr">
        <is>
          <t>Environment Agency Board members' terms extended</t>
        </is>
      </c>
      <c r="H11" s="5" t="inlineStr">
        <is>
          <t>https://www.gov.uk/government/news/environment-agency-board-members-terms-extended</t>
        </is>
      </c>
      <c r="I11" s="2" t="inlineStr">
        <is>
          <t>Circular; Circular Economy; Climate; Climate Change; Environment; Sustainability; energy; green; transition</t>
        </is>
      </c>
      <c r="J11" s="2" t="n">
        <v>9</v>
      </c>
      <c r="K11" s="2" t="inlineStr">
        <is>
          <t>Yes</t>
        </is>
      </c>
      <c r="L11" s="2" t="inlineStr"/>
      <c r="M11" s="2" t="inlineStr">
        <is>
          <t>GOV.UK API</t>
        </is>
      </c>
      <c r="N11" s="2" t="n">
        <v>470</v>
      </c>
      <c r="O11" s="2" t="inlineStr"/>
      <c r="P11" s="2" t="inlineStr">
        <is>
          <t>Circular; Circular Economy; Climate; Climate Change; Environment; Sustainability; energy; green; transition</t>
        </is>
      </c>
      <c r="Q11" s="2" t="inlineStr"/>
      <c r="R11" s="2" t="inlineStr"/>
    </row>
    <row r="12">
      <c r="A12" s="2" t="inlineStr">
        <is>
          <t>2026-05</t>
        </is>
      </c>
      <c r="B12" s="4" t="n">
        <v>46157</v>
      </c>
      <c r="C12" s="2" t="inlineStr">
        <is>
          <t>Post-withdrawal</t>
        </is>
      </c>
      <c r="D12" s="2" t="inlineStr">
        <is>
          <t>Canada</t>
        </is>
      </c>
      <c r="E12" s="2" t="inlineStr">
        <is>
          <t>Ministry of Environment</t>
        </is>
      </c>
      <c r="F12" s="2" t="inlineStr">
        <is>
          <t>canada.ca</t>
        </is>
      </c>
      <c r="G12" s="2" t="inlineStr">
        <is>
          <t>ArcelorMittal Exploitation Minière Canada s.e.n.c. fined $100 million for violating the Fisheries Act through illegal deposits of deleterious substances</t>
        </is>
      </c>
      <c r="H12" s="5" t="inlineStr">
        <is>
          <t>https://www.canada.ca/en/environment-climate-change/news/2026/05/arcelormittal-exploitation-miniere-canada-senc-fined-100-million-for-violating-the-fisheries-act-through-illegal-deposits-of-deleterious-substances.html</t>
        </is>
      </c>
      <c r="I12" s="2" t="inlineStr">
        <is>
          <t>Climate; Climate Change; Environment</t>
        </is>
      </c>
      <c r="J12" s="2" t="n">
        <v>3</v>
      </c>
      <c r="K12" s="2" t="inlineStr">
        <is>
          <t>No</t>
        </is>
      </c>
      <c r="L12" s="2" t="inlineStr"/>
      <c r="M12" s="2" t="inlineStr">
        <is>
          <t>page metadata</t>
        </is>
      </c>
      <c r="N12" s="2" t="n">
        <v>730</v>
      </c>
      <c r="O12" s="2" t="inlineStr"/>
      <c r="P12" s="2" t="inlineStr">
        <is>
          <t>Climate; Climate Change; Environment</t>
        </is>
      </c>
      <c r="Q12" s="2" t="inlineStr"/>
      <c r="R12" s="2" t="inlineStr"/>
    </row>
    <row r="13">
      <c r="A13" s="2" t="inlineStr">
        <is>
          <t>2026-05</t>
        </is>
      </c>
      <c r="B13" s="4" t="n">
        <v>46157</v>
      </c>
      <c r="C13" s="2" t="inlineStr">
        <is>
          <t>Post-withdrawal</t>
        </is>
      </c>
      <c r="D13" s="2" t="inlineStr">
        <is>
          <t>New Zealand</t>
        </is>
      </c>
      <c r="E13" s="2" t="inlineStr">
        <is>
          <t>Ministry of Environment</t>
        </is>
      </c>
      <c r="F13" s="2" t="inlineStr">
        <is>
          <t>environment.govt.nz</t>
        </is>
      </c>
      <c r="G13" s="2" t="inlineStr">
        <is>
          <t>Assessments for carbon removals</t>
        </is>
      </c>
      <c r="H13" s="5" t="inlineStr">
        <is>
          <t>https://environment.govt.nz/what-you-can-do/assessments-for-carbon-removals/</t>
        </is>
      </c>
      <c r="I13" s="2" t="inlineStr">
        <is>
          <t>Climate; Climate Change; carbon; emissions; greenhouse gas</t>
        </is>
      </c>
      <c r="J13" s="2" t="n">
        <v>5</v>
      </c>
      <c r="K13" s="2" t="inlineStr">
        <is>
          <t>Yes</t>
        </is>
      </c>
      <c r="L13" s="2" t="inlineStr"/>
      <c r="M13" s="2" t="inlineStr">
        <is>
          <t>page metadata</t>
        </is>
      </c>
      <c r="N13" s="2" t="n">
        <v>643</v>
      </c>
      <c r="O13" s="2" t="inlineStr"/>
      <c r="P13" s="2" t="inlineStr">
        <is>
          <t>Climate; Climate Change; carbon; emissions; greenhouse gas</t>
        </is>
      </c>
      <c r="Q13" s="2" t="inlineStr"/>
      <c r="R13" s="2" t="inlineStr"/>
    </row>
    <row r="14">
      <c r="A14" s="2" t="inlineStr">
        <is>
          <t>2026-05</t>
        </is>
      </c>
      <c r="B14" s="4" t="n">
        <v>46157</v>
      </c>
      <c r="C14" s="2" t="inlineStr">
        <is>
          <t>Post-withdrawal</t>
        </is>
      </c>
      <c r="D14" s="2" t="inlineStr">
        <is>
          <t>UK</t>
        </is>
      </c>
      <c r="E14" s="2" t="inlineStr">
        <is>
          <t>Ministry of Environment</t>
        </is>
      </c>
      <c r="F14" s="2" t="inlineStr">
        <is>
          <t>gov.uk</t>
        </is>
      </c>
      <c r="G14" s="2" t="inlineStr">
        <is>
          <t>Environment Agency issues Angus Fire permit variation</t>
        </is>
      </c>
      <c r="H14" s="5" t="inlineStr">
        <is>
          <t>https://www.gov.uk/government/news/environment-agency-issues-angus-fire-permit-variation</t>
        </is>
      </c>
      <c r="I14" s="2" t="inlineStr">
        <is>
          <t>Environment</t>
        </is>
      </c>
      <c r="J14" s="2" t="n">
        <v>1</v>
      </c>
      <c r="K14" s="2" t="inlineStr">
        <is>
          <t>No</t>
        </is>
      </c>
      <c r="L14" s="2" t="inlineStr"/>
      <c r="M14" s="2" t="inlineStr">
        <is>
          <t>GOV.UK API</t>
        </is>
      </c>
      <c r="N14" s="2" t="n">
        <v>532</v>
      </c>
      <c r="O14" s="2" t="inlineStr"/>
      <c r="P14" s="2" t="inlineStr">
        <is>
          <t>Environment</t>
        </is>
      </c>
      <c r="Q14" s="2" t="inlineStr"/>
      <c r="R14" s="2" t="inlineStr"/>
    </row>
    <row r="15">
      <c r="A15" s="2" t="inlineStr">
        <is>
          <t>2026-05</t>
        </is>
      </c>
      <c r="B15" s="4" t="n">
        <v>46157</v>
      </c>
      <c r="C15" s="2" t="inlineStr">
        <is>
          <t>Post-withdrawal</t>
        </is>
      </c>
      <c r="D15" s="2" t="inlineStr">
        <is>
          <t>UK</t>
        </is>
      </c>
      <c r="E15" s="2" t="inlineStr">
        <is>
          <t>Ministry of Environment</t>
        </is>
      </c>
      <c r="F15" s="2" t="inlineStr">
        <is>
          <t>gov.uk</t>
        </is>
      </c>
      <c r="G15" s="2" t="inlineStr">
        <is>
          <t>Farmer fined after pollution kills a thousand fish</t>
        </is>
      </c>
      <c r="H15" s="5" t="inlineStr">
        <is>
          <t>https://www.gov.uk/government/news/farmer-fined-after-pollution-kills-a-thousand-fish</t>
        </is>
      </c>
      <c r="I15" s="2" t="inlineStr">
        <is>
          <t>Environment</t>
        </is>
      </c>
      <c r="J15" s="2" t="n">
        <v>1</v>
      </c>
      <c r="K15" s="2" t="inlineStr">
        <is>
          <t>No</t>
        </is>
      </c>
      <c r="L15" s="2" t="inlineStr"/>
      <c r="M15" s="2" t="inlineStr">
        <is>
          <t>GOV.UK API</t>
        </is>
      </c>
      <c r="N15" s="2" t="n">
        <v>428</v>
      </c>
      <c r="O15" s="2" t="inlineStr"/>
      <c r="P15" s="2" t="inlineStr">
        <is>
          <t>Environment</t>
        </is>
      </c>
      <c r="Q15" s="2" t="inlineStr"/>
      <c r="R15" s="2" t="inlineStr"/>
    </row>
    <row r="16">
      <c r="A16" s="2" t="inlineStr">
        <is>
          <t>2026-05</t>
        </is>
      </c>
      <c r="B16" s="4" t="n">
        <v>46159</v>
      </c>
      <c r="C16" s="2" t="inlineStr">
        <is>
          <t>Post-withdrawal</t>
        </is>
      </c>
      <c r="D16" s="2" t="inlineStr">
        <is>
          <t>UK</t>
        </is>
      </c>
      <c r="E16" s="2" t="inlineStr">
        <is>
          <t>Ministry of Environment</t>
        </is>
      </c>
      <c r="F16" s="2" t="inlineStr">
        <is>
          <t>gov.uk</t>
        </is>
      </c>
      <c r="G16" s="2" t="inlineStr">
        <is>
          <t>New reforms to stop waste criminals from exploiting loopholes</t>
        </is>
      </c>
      <c r="H16" s="5" t="inlineStr">
        <is>
          <t>https://www.gov.uk/government/news/new-reforms-to-stop-waste-criminals-from-exploiting-loopholes</t>
        </is>
      </c>
      <c r="I16" s="2" t="inlineStr">
        <is>
          <t>Environment</t>
        </is>
      </c>
      <c r="J16" s="2" t="n">
        <v>1</v>
      </c>
      <c r="K16" s="2" t="inlineStr">
        <is>
          <t>No</t>
        </is>
      </c>
      <c r="L16" s="2" t="inlineStr"/>
      <c r="M16" s="2" t="inlineStr">
        <is>
          <t>GOV.UK API</t>
        </is>
      </c>
      <c r="N16" s="2" t="n">
        <v>911</v>
      </c>
      <c r="O16" s="2" t="inlineStr"/>
      <c r="P16" s="2" t="inlineStr">
        <is>
          <t>Environment</t>
        </is>
      </c>
      <c r="Q16" s="2" t="inlineStr"/>
      <c r="R16" s="2" t="inlineStr"/>
    </row>
    <row r="17">
      <c r="A17" s="2" t="inlineStr">
        <is>
          <t>2026-05</t>
        </is>
      </c>
      <c r="B17" s="4" t="n">
        <v>46160</v>
      </c>
      <c r="C17" s="2" t="inlineStr">
        <is>
          <t>Post-withdrawal</t>
        </is>
      </c>
      <c r="D17" s="2" t="inlineStr">
        <is>
          <t>UK</t>
        </is>
      </c>
      <c r="E17" s="2" t="inlineStr">
        <is>
          <t>Ministry of Environment</t>
        </is>
      </c>
      <c r="F17" s="2" t="inlineStr">
        <is>
          <t>gov.uk</t>
        </is>
      </c>
      <c r="G17" s="2" t="inlineStr">
        <is>
          <t>BH23 6BG, Eco Sustainable Solutions Limited: environmental permit issued - EPR/GP3793FY/V019</t>
        </is>
      </c>
      <c r="H17" s="5" t="inlineStr">
        <is>
          <t>https://www.gov.uk/government/publications/bh23-6bg-eco-sustainable-solutions-limited-environmental-permit-issued-eprgp3793fyv019</t>
        </is>
      </c>
      <c r="I17" s="2" t="inlineStr">
        <is>
          <t>Environment; emissions</t>
        </is>
      </c>
      <c r="J17" s="2" t="n">
        <v>2</v>
      </c>
      <c r="K17" s="2" t="inlineStr">
        <is>
          <t>No</t>
        </is>
      </c>
      <c r="L17" s="2" t="inlineStr"/>
      <c r="M17" s="2" t="inlineStr">
        <is>
          <t>GOV.UK API</t>
        </is>
      </c>
      <c r="N17" s="2" t="n">
        <v>77</v>
      </c>
      <c r="O17" s="2" t="inlineStr"/>
      <c r="P17" s="2" t="inlineStr">
        <is>
          <t>Environment; emissions</t>
        </is>
      </c>
      <c r="Q17" s="2" t="inlineStr"/>
      <c r="R17" s="2" t="inlineStr"/>
    </row>
    <row r="18">
      <c r="A18" s="2" t="inlineStr">
        <is>
          <t>2026-05</t>
        </is>
      </c>
      <c r="B18" s="4" t="n">
        <v>46160</v>
      </c>
      <c r="C18" s="2" t="inlineStr">
        <is>
          <t>Post-withdrawal</t>
        </is>
      </c>
      <c r="D18" s="2" t="inlineStr">
        <is>
          <t>UK</t>
        </is>
      </c>
      <c r="E18" s="2" t="inlineStr">
        <is>
          <t>Ministry of Environment</t>
        </is>
      </c>
      <c r="F18" s="2" t="inlineStr">
        <is>
          <t>gov.uk</t>
        </is>
      </c>
      <c r="G18" s="2" t="inlineStr">
        <is>
          <t>Have your say on proposed change to permit at Hinkley Point C</t>
        </is>
      </c>
      <c r="H18" s="5" t="inlineStr">
        <is>
          <t>https://www.gov.uk/government/news/have-your-say-on-proposed-change-to-permit-at-hinkley-point-c</t>
        </is>
      </c>
      <c r="I18" s="2" t="inlineStr">
        <is>
          <t>Environment</t>
        </is>
      </c>
      <c r="J18" s="2" t="n">
        <v>1</v>
      </c>
      <c r="K18" s="2" t="inlineStr">
        <is>
          <t>No</t>
        </is>
      </c>
      <c r="L18" s="2" t="inlineStr"/>
      <c r="M18" s="2" t="inlineStr">
        <is>
          <t>GOV.UK API</t>
        </is>
      </c>
      <c r="N18" s="2" t="n">
        <v>424</v>
      </c>
      <c r="O18" s="2" t="inlineStr"/>
      <c r="P18" s="2" t="inlineStr">
        <is>
          <t>Environment</t>
        </is>
      </c>
      <c r="Q18" s="2" t="inlineStr"/>
      <c r="R18" s="2" t="inlineStr"/>
    </row>
    <row r="19">
      <c r="A19" s="2" t="inlineStr">
        <is>
          <t>2026-05</t>
        </is>
      </c>
      <c r="B19" s="4" t="n">
        <v>46160</v>
      </c>
      <c r="C19" s="2" t="inlineStr">
        <is>
          <t>Post-withdrawal</t>
        </is>
      </c>
      <c r="D19" s="2" t="inlineStr">
        <is>
          <t>UK</t>
        </is>
      </c>
      <c r="E19" s="2" t="inlineStr">
        <is>
          <t>Ministry of Environment</t>
        </is>
      </c>
      <c r="F19" s="2" t="inlineStr">
        <is>
          <t>gov.uk</t>
        </is>
      </c>
      <c r="G19" s="2" t="inlineStr">
        <is>
          <t>YO43 4EB, Mr Richard Towse and Mrs Helen Towse: environmental permit issued - EPR/ZP3432JX/V003</t>
        </is>
      </c>
      <c r="H19" s="5" t="inlineStr">
        <is>
          <t>https://www.gov.uk/government/publications/yo43-4eb-mr-richard-towse-and---mrs-helen-towse-environmental-permit-issued-eprzp3432jxv003</t>
        </is>
      </c>
      <c r="I19" s="2" t="inlineStr">
        <is>
          <t>Environment; emissions</t>
        </is>
      </c>
      <c r="J19" s="2" t="n">
        <v>2</v>
      </c>
      <c r="K19" s="2" t="inlineStr">
        <is>
          <t>No</t>
        </is>
      </c>
      <c r="L19" s="2" t="inlineStr"/>
      <c r="M19" s="2" t="inlineStr">
        <is>
          <t>GOV.UK API</t>
        </is>
      </c>
      <c r="N19" s="2" t="n">
        <v>81</v>
      </c>
      <c r="O19" s="2" t="inlineStr"/>
      <c r="P19" s="2" t="inlineStr">
        <is>
          <t>Environment; emissions</t>
        </is>
      </c>
      <c r="Q19" s="2" t="inlineStr"/>
      <c r="R19" s="2" t="inlineStr"/>
    </row>
    <row r="20">
      <c r="A20" s="2" t="inlineStr">
        <is>
          <t>2026-05</t>
        </is>
      </c>
      <c r="B20" s="4" t="n">
        <v>46161</v>
      </c>
      <c r="C20" s="2" t="inlineStr">
        <is>
          <t>Post-withdrawal</t>
        </is>
      </c>
      <c r="D20" s="2" t="inlineStr">
        <is>
          <t>UK</t>
        </is>
      </c>
      <c r="E20" s="2" t="inlineStr">
        <is>
          <t>Ministry of Environment</t>
        </is>
      </c>
      <c r="F20" s="2" t="inlineStr">
        <is>
          <t>gov.uk</t>
        </is>
      </c>
      <c r="G20" s="2" t="inlineStr">
        <is>
          <t>Third waste carrier convicted in Environment Agency operation</t>
        </is>
      </c>
      <c r="H20" s="5" t="inlineStr">
        <is>
          <t>https://www.gov.uk/government/news/third-waste-carrier-convicted-in-environment-agency-operation</t>
        </is>
      </c>
      <c r="I20" s="2" t="inlineStr">
        <is>
          <t>Environment</t>
        </is>
      </c>
      <c r="J20" s="2" t="n">
        <v>1</v>
      </c>
      <c r="K20" s="2" t="inlineStr">
        <is>
          <t>No</t>
        </is>
      </c>
      <c r="L20" s="2" t="inlineStr"/>
      <c r="M20" s="2" t="inlineStr">
        <is>
          <t>GOV.UK API</t>
        </is>
      </c>
      <c r="N20" s="2" t="n">
        <v>499</v>
      </c>
      <c r="O20" s="2" t="inlineStr"/>
      <c r="P20" s="2" t="inlineStr">
        <is>
          <t>Environment</t>
        </is>
      </c>
      <c r="Q20" s="2" t="inlineStr"/>
      <c r="R20" s="2" t="inlineStr"/>
    </row>
    <row r="21">
      <c r="A21" s="2" t="inlineStr">
        <is>
          <t>2026-05</t>
        </is>
      </c>
      <c r="B21" s="4" t="n">
        <v>46162</v>
      </c>
      <c r="C21" s="2" t="inlineStr">
        <is>
          <t>Post-withdrawal</t>
        </is>
      </c>
      <c r="D21" s="2" t="inlineStr">
        <is>
          <t>Canada</t>
        </is>
      </c>
      <c r="E21" s="2" t="inlineStr">
        <is>
          <t>Ministry of Environment</t>
        </is>
      </c>
      <c r="F21" s="2" t="inlineStr">
        <is>
          <t>canada.ca</t>
        </is>
      </c>
      <c r="G21" s="2" t="inlineStr">
        <is>
          <t>Environment and Climate Change Canada presents the 2026 hurricane season outlook</t>
        </is>
      </c>
      <c r="H21" s="5" t="inlineStr">
        <is>
          <t>https://www.canada.ca/en/environment-climate-change/news/2026/05/environment-and-climate-change-canada-presents-the-2026-hurricane-season-outlook.html</t>
        </is>
      </c>
      <c r="I21" s="2" t="inlineStr">
        <is>
          <t>Climate; Climate Change; Environment</t>
        </is>
      </c>
      <c r="J21" s="2" t="n">
        <v>3</v>
      </c>
      <c r="K21" s="2" t="inlineStr">
        <is>
          <t>No</t>
        </is>
      </c>
      <c r="L21" s="2" t="inlineStr"/>
      <c r="M21" s="2" t="inlineStr">
        <is>
          <t>page metadata</t>
        </is>
      </c>
      <c r="N21" s="2" t="n">
        <v>176</v>
      </c>
      <c r="O21" s="2" t="inlineStr"/>
      <c r="P21" s="2" t="inlineStr">
        <is>
          <t>Climate; Climate Change; Environment</t>
        </is>
      </c>
      <c r="Q21" s="2" t="inlineStr"/>
      <c r="R21" s="2" t="inlineStr"/>
    </row>
    <row r="22">
      <c r="A22" s="2" t="inlineStr">
        <is>
          <t>2026-05</t>
        </is>
      </c>
      <c r="B22" s="4" t="n">
        <v>46162</v>
      </c>
      <c r="C22" s="2" t="inlineStr">
        <is>
          <t>Post-withdrawal</t>
        </is>
      </c>
      <c r="D22" s="2" t="inlineStr">
        <is>
          <t>UK</t>
        </is>
      </c>
      <c r="E22" s="2" t="inlineStr">
        <is>
          <t>Ministry of Environment</t>
        </is>
      </c>
      <c r="F22" s="2" t="inlineStr">
        <is>
          <t>gov.uk</t>
        </is>
      </c>
      <c r="G22" s="2" t="inlineStr">
        <is>
          <t>Man arrested in connection with illegal waste dumping</t>
        </is>
      </c>
      <c r="H22" s="5" t="inlineStr">
        <is>
          <t>https://www.gov.uk/government/news/man-arrested-in-connection-with-illegal-waste-dumping</t>
        </is>
      </c>
      <c r="I22" s="2" t="inlineStr">
        <is>
          <t>Emma Reynolds; Environment</t>
        </is>
      </c>
      <c r="J22" s="2" t="n">
        <v>2</v>
      </c>
      <c r="K22" s="2" t="inlineStr">
        <is>
          <t>Yes</t>
        </is>
      </c>
      <c r="L22" s="2" t="inlineStr">
        <is>
          <t>UK</t>
        </is>
      </c>
      <c r="M22" s="2" t="inlineStr">
        <is>
          <t>GOV.UK API</t>
        </is>
      </c>
      <c r="N22" s="2" t="n">
        <v>504</v>
      </c>
      <c r="O22" s="2" t="inlineStr"/>
      <c r="P22" s="2" t="inlineStr">
        <is>
          <t>Environment</t>
        </is>
      </c>
      <c r="Q22" s="2" t="inlineStr"/>
      <c r="R22" s="2" t="inlineStr">
        <is>
          <t>Emma Reynolds</t>
        </is>
      </c>
    </row>
    <row r="23">
      <c r="A23" s="2" t="inlineStr">
        <is>
          <t>2026-05</t>
        </is>
      </c>
      <c r="B23" s="4" t="n">
        <v>46162</v>
      </c>
      <c r="C23" s="2" t="inlineStr">
        <is>
          <t>Post-withdrawal</t>
        </is>
      </c>
      <c r="D23" s="2" t="inlineStr">
        <is>
          <t>UK</t>
        </is>
      </c>
      <c r="E23" s="2" t="inlineStr">
        <is>
          <t>Ministry of Environment</t>
        </is>
      </c>
      <c r="F23" s="2" t="inlineStr">
        <is>
          <t>gov.uk</t>
        </is>
      </c>
      <c r="G23" s="2" t="inlineStr">
        <is>
          <t>N18 3AG, Londonenergy Ltd: permit surrender issued - EPR/YP3500LS/S002</t>
        </is>
      </c>
      <c r="H23" s="5" t="inlineStr">
        <is>
          <t>https://www.gov.uk/government/publications/n18-3ag-londonenergy-ltd-permit-surrender-issued-epryp3500lss002</t>
        </is>
      </c>
      <c r="I23" s="2" t="inlineStr">
        <is>
          <t>Environment; emissions</t>
        </is>
      </c>
      <c r="J23" s="2" t="n">
        <v>2</v>
      </c>
      <c r="K23" s="2" t="inlineStr">
        <is>
          <t>No</t>
        </is>
      </c>
      <c r="L23" s="2" t="inlineStr"/>
      <c r="M23" s="2" t="inlineStr">
        <is>
          <t>GOV.UK API</t>
        </is>
      </c>
      <c r="N23" s="2" t="n">
        <v>68</v>
      </c>
      <c r="O23" s="2" t="inlineStr"/>
      <c r="P23" s="2" t="inlineStr">
        <is>
          <t>Environment; emissions</t>
        </is>
      </c>
      <c r="Q23" s="2" t="inlineStr"/>
      <c r="R23" s="2" t="inlineStr"/>
    </row>
    <row r="24">
      <c r="A24" s="2" t="inlineStr">
        <is>
          <t>2026-05</t>
        </is>
      </c>
      <c r="B24" s="4" t="n">
        <v>46162</v>
      </c>
      <c r="C24" s="2" t="inlineStr">
        <is>
          <t>Post-withdrawal</t>
        </is>
      </c>
      <c r="D24" s="2" t="inlineStr">
        <is>
          <t>UK</t>
        </is>
      </c>
      <c r="E24" s="2" t="inlineStr">
        <is>
          <t>Ministry of Environment</t>
        </is>
      </c>
      <c r="F24" s="2" t="inlineStr">
        <is>
          <t>gov.uk</t>
        </is>
      </c>
      <c r="G24" s="2" t="inlineStr">
        <is>
          <t>Science shows how tackling pollution now can protect Windermere's future</t>
        </is>
      </c>
      <c r="H24" s="5" t="inlineStr">
        <is>
          <t>https://www.gov.uk/government/news/science-shows-how-tackling-pollution-now-can-protect-windermeres-future</t>
        </is>
      </c>
      <c r="I24" s="2" t="inlineStr">
        <is>
          <t>Climate; Climate Change; Environment; green</t>
        </is>
      </c>
      <c r="J24" s="2" t="n">
        <v>4</v>
      </c>
      <c r="K24" s="2" t="inlineStr">
        <is>
          <t>Yes</t>
        </is>
      </c>
      <c r="L24" s="2" t="inlineStr"/>
      <c r="M24" s="2" t="inlineStr">
        <is>
          <t>GOV.UK API</t>
        </is>
      </c>
      <c r="N24" s="2" t="n">
        <v>697</v>
      </c>
      <c r="O24" s="2" t="inlineStr"/>
      <c r="P24" s="2" t="inlineStr">
        <is>
          <t>Climate; Climate Change; Environment; green</t>
        </is>
      </c>
      <c r="Q24" s="2" t="inlineStr"/>
      <c r="R24" s="2" t="inlineStr"/>
    </row>
    <row r="25">
      <c r="A25" s="2" t="inlineStr">
        <is>
          <t>2026-05</t>
        </is>
      </c>
      <c r="B25" s="4" t="n">
        <v>46163</v>
      </c>
      <c r="C25" s="2" t="inlineStr">
        <is>
          <t>Post-withdrawal</t>
        </is>
      </c>
      <c r="D25" s="2" t="inlineStr">
        <is>
          <t>Canada</t>
        </is>
      </c>
      <c r="E25" s="2" t="inlineStr">
        <is>
          <t>Ministry of Environment</t>
        </is>
      </c>
      <c r="F25" s="2" t="inlineStr">
        <is>
          <t>canada.ca</t>
        </is>
      </c>
      <c r="G25" s="2" t="inlineStr">
        <is>
          <t>Government of Canada prepares Canadians for upcoming hurricane season</t>
        </is>
      </c>
      <c r="H25" s="5" t="inlineStr">
        <is>
          <t>https://www.canada.ca/en/environment-climate-change/news/2026/05/government-of-canada-prepares-canadians-for-upcoming-hurricane-season.html</t>
        </is>
      </c>
      <c r="I25" s="2" t="inlineStr">
        <is>
          <t>Climate; Climate Change; Environment; Julie Dabrusin; Temperature</t>
        </is>
      </c>
      <c r="J25" s="2" t="n">
        <v>5</v>
      </c>
      <c r="K25" s="2" t="inlineStr">
        <is>
          <t>Yes</t>
        </is>
      </c>
      <c r="L25" s="2" t="inlineStr">
        <is>
          <t>Canada</t>
        </is>
      </c>
      <c r="M25" s="2" t="inlineStr">
        <is>
          <t>page metadata</t>
        </is>
      </c>
      <c r="N25" s="2" t="n">
        <v>560</v>
      </c>
      <c r="O25" s="2" t="inlineStr"/>
      <c r="P25" s="2" t="inlineStr">
        <is>
          <t>Climate; Climate Change; Environment; Temperature</t>
        </is>
      </c>
      <c r="Q25" s="2" t="inlineStr"/>
      <c r="R25" s="2" t="inlineStr">
        <is>
          <t>Julie Dabrusin</t>
        </is>
      </c>
    </row>
    <row r="26">
      <c r="A26" s="2" t="inlineStr">
        <is>
          <t>2026-05</t>
        </is>
      </c>
      <c r="B26" s="4" t="n">
        <v>46163</v>
      </c>
      <c r="C26" s="2" t="inlineStr">
        <is>
          <t>Post-withdrawal</t>
        </is>
      </c>
      <c r="D26" s="2" t="inlineStr">
        <is>
          <t>UK</t>
        </is>
      </c>
      <c r="E26" s="2" t="inlineStr">
        <is>
          <t>Ministry of Environment</t>
        </is>
      </c>
      <c r="F26" s="2" t="inlineStr">
        <is>
          <t>gov.uk</t>
        </is>
      </c>
      <c r="G26" s="2" t="inlineStr">
        <is>
          <t>HU12 8GA, Saltend Cogeneration Company Limited: environmental permit issued - EPR/QP3539LE/V012</t>
        </is>
      </c>
      <c r="H26" s="5" t="inlineStr">
        <is>
          <t>https://www.gov.uk/government/publications/hu12-8ga-saltend-cogeneration-company-limited-environmental-permit-issued-eprqp3539lev012</t>
        </is>
      </c>
      <c r="I26" s="2" t="inlineStr">
        <is>
          <t>Environment; emissions</t>
        </is>
      </c>
      <c r="J26" s="2" t="n">
        <v>2</v>
      </c>
      <c r="K26" s="2" t="inlineStr">
        <is>
          <t>No</t>
        </is>
      </c>
      <c r="L26" s="2" t="inlineStr"/>
      <c r="M26" s="2" t="inlineStr">
        <is>
          <t>GOV.UK API</t>
        </is>
      </c>
      <c r="N26" s="2" t="n">
        <v>75</v>
      </c>
      <c r="O26" s="2" t="inlineStr"/>
      <c r="P26" s="2" t="inlineStr">
        <is>
          <t>Environment; emissions</t>
        </is>
      </c>
      <c r="Q26" s="2" t="inlineStr"/>
      <c r="R26" s="2" t="inlineStr"/>
    </row>
    <row r="27">
      <c r="A27" s="2" t="inlineStr">
        <is>
          <t>2026-05</t>
        </is>
      </c>
      <c r="B27" s="4" t="n">
        <v>46163</v>
      </c>
      <c r="C27" s="2" t="inlineStr">
        <is>
          <t>Post-withdrawal</t>
        </is>
      </c>
      <c r="D27" s="2" t="inlineStr">
        <is>
          <t>UK</t>
        </is>
      </c>
      <c r="E27" s="2" t="inlineStr">
        <is>
          <t>Ministry of Environment</t>
        </is>
      </c>
      <c r="F27" s="2" t="inlineStr">
        <is>
          <t>gov.uk</t>
        </is>
      </c>
      <c r="G27" s="2" t="inlineStr">
        <is>
          <t>Repeat polluter pays out over slurry offences</t>
        </is>
      </c>
      <c r="H27" s="5" t="inlineStr">
        <is>
          <t>https://www.gov.uk/government/news/repeat-polluter-pays-out-over-slurry-offences</t>
        </is>
      </c>
      <c r="I27" s="2" t="inlineStr">
        <is>
          <t>Environment</t>
        </is>
      </c>
      <c r="J27" s="2" t="n">
        <v>1</v>
      </c>
      <c r="K27" s="2" t="inlineStr">
        <is>
          <t>No</t>
        </is>
      </c>
      <c r="L27" s="2" t="inlineStr"/>
      <c r="M27" s="2" t="inlineStr">
        <is>
          <t>GOV.UK API</t>
        </is>
      </c>
      <c r="N27" s="2" t="n">
        <v>933</v>
      </c>
      <c r="O27" s="2" t="inlineStr"/>
      <c r="P27" s="2" t="inlineStr">
        <is>
          <t>Environment</t>
        </is>
      </c>
      <c r="Q27" s="2" t="inlineStr"/>
      <c r="R27" s="2" t="inlineStr"/>
    </row>
    <row r="28">
      <c r="A28" s="2" t="inlineStr">
        <is>
          <t>2026-05</t>
        </is>
      </c>
      <c r="B28" s="4" t="n">
        <v>46163</v>
      </c>
      <c r="C28" s="2" t="inlineStr">
        <is>
          <t>Post-withdrawal</t>
        </is>
      </c>
      <c r="D28" s="2" t="inlineStr">
        <is>
          <t>UK</t>
        </is>
      </c>
      <c r="E28" s="2" t="inlineStr">
        <is>
          <t>Ministry of Environment</t>
        </is>
      </c>
      <c r="F28" s="2" t="inlineStr">
        <is>
          <t>gov.uk</t>
        </is>
      </c>
      <c r="G28" s="2" t="inlineStr">
        <is>
          <t>Romsey flood alleviation scheme strengthened with new defences</t>
        </is>
      </c>
      <c r="H28" s="5" t="inlineStr">
        <is>
          <t>https://www.gov.uk/government/news/romsey-flood-alleviation-scheme-strengthened-with-new-defences</t>
        </is>
      </c>
      <c r="I28" s="2" t="inlineStr">
        <is>
          <t>Environment</t>
        </is>
      </c>
      <c r="J28" s="2" t="n">
        <v>1</v>
      </c>
      <c r="K28" s="2" t="inlineStr">
        <is>
          <t>No</t>
        </is>
      </c>
      <c r="L28" s="2" t="inlineStr"/>
      <c r="M28" s="2" t="inlineStr">
        <is>
          <t>GOV.UK API</t>
        </is>
      </c>
      <c r="N28" s="2" t="n">
        <v>428</v>
      </c>
      <c r="O28" s="2" t="inlineStr"/>
      <c r="P28" s="2" t="inlineStr">
        <is>
          <t>Environment</t>
        </is>
      </c>
      <c r="Q28" s="2" t="inlineStr"/>
      <c r="R28" s="2" t="inlineStr"/>
    </row>
    <row r="29">
      <c r="A29" s="2" t="inlineStr">
        <is>
          <t>2026-05</t>
        </is>
      </c>
      <c r="B29" s="4" t="n">
        <v>46164</v>
      </c>
      <c r="C29" s="2" t="inlineStr">
        <is>
          <t>Post-withdrawal</t>
        </is>
      </c>
      <c r="D29" s="2" t="inlineStr">
        <is>
          <t>Canada</t>
        </is>
      </c>
      <c r="E29" s="2" t="inlineStr">
        <is>
          <t>Ministry of Environment</t>
        </is>
      </c>
      <c r="F29" s="2" t="inlineStr">
        <is>
          <t>canada.ca</t>
        </is>
      </c>
      <c r="G29" s="2" t="inlineStr">
        <is>
          <t>International Day for Biological Diversity 2026: Statement from the Honourable Julie Dabrusin, Minister of the Environment, Climate Change and Nature</t>
        </is>
      </c>
      <c r="H29" s="5" t="inlineStr">
        <is>
          <t>https://www.canada.ca/en/environment-climate-change/news/2026/05/international-day-for-biological-diversity-2026-statement-from-the-honourable-julie-dabrusin-minister-of-the-environment-climate-change-and-nature.html</t>
        </is>
      </c>
      <c r="I29" s="2" t="inlineStr">
        <is>
          <t>Climate; Climate Change; Environment; Julie Dabrusin; carbon; commitments</t>
        </is>
      </c>
      <c r="J29" s="2" t="n">
        <v>6</v>
      </c>
      <c r="K29" s="2" t="inlineStr">
        <is>
          <t>Yes</t>
        </is>
      </c>
      <c r="L29" s="2" t="inlineStr">
        <is>
          <t>Canada</t>
        </is>
      </c>
      <c r="M29" s="2" t="inlineStr">
        <is>
          <t>page metadata</t>
        </is>
      </c>
      <c r="N29" s="2" t="n">
        <v>664</v>
      </c>
      <c r="O29" s="2" t="inlineStr"/>
      <c r="P29" s="2" t="inlineStr">
        <is>
          <t>Climate; Climate Change; Environment; carbon; commitments</t>
        </is>
      </c>
      <c r="Q29" s="2" t="inlineStr"/>
      <c r="R29" s="2" t="inlineStr">
        <is>
          <t>Julie Dabrusin</t>
        </is>
      </c>
    </row>
    <row r="30">
      <c r="A30" s="2" t="inlineStr">
        <is>
          <t>2026-05</t>
        </is>
      </c>
      <c r="B30" s="4" t="n">
        <v>46164</v>
      </c>
      <c r="C30" s="2" t="inlineStr">
        <is>
          <t>Post-withdrawal</t>
        </is>
      </c>
      <c r="D30" s="2" t="inlineStr">
        <is>
          <t>UK</t>
        </is>
      </c>
      <c r="E30" s="2" t="inlineStr">
        <is>
          <t>Ministry of Environment</t>
        </is>
      </c>
      <c r="F30" s="2" t="inlineStr">
        <is>
          <t>gov.uk</t>
        </is>
      </c>
      <c r="G30" s="2" t="inlineStr">
        <is>
          <t>Environment Agency changes landfill permit to reduce odour risk</t>
        </is>
      </c>
      <c r="H30" s="5" t="inlineStr">
        <is>
          <t>https://www.gov.uk/government/news/environment-agency-changes-landfill-permit-to-reduce-odour-risk</t>
        </is>
      </c>
      <c r="I30" s="2" t="inlineStr">
        <is>
          <t>Environment</t>
        </is>
      </c>
      <c r="J30" s="2" t="n">
        <v>1</v>
      </c>
      <c r="K30" s="2" t="inlineStr">
        <is>
          <t>No</t>
        </is>
      </c>
      <c r="L30" s="2" t="inlineStr"/>
      <c r="M30" s="2" t="inlineStr">
        <is>
          <t>GOV.UK API</t>
        </is>
      </c>
      <c r="N30" s="2" t="n">
        <v>308</v>
      </c>
      <c r="O30" s="2" t="inlineStr"/>
      <c r="P30" s="2" t="inlineStr">
        <is>
          <t>Environment</t>
        </is>
      </c>
      <c r="Q30" s="2" t="inlineStr"/>
      <c r="R30" s="2" t="inlineStr"/>
    </row>
    <row r="31">
      <c r="A31" s="2" t="inlineStr">
        <is>
          <t>2026-05</t>
        </is>
      </c>
      <c r="B31" s="4" t="n">
        <v>46164</v>
      </c>
      <c r="C31" s="2" t="inlineStr">
        <is>
          <t>Post-withdrawal</t>
        </is>
      </c>
      <c r="D31" s="2" t="inlineStr">
        <is>
          <t>UK</t>
        </is>
      </c>
      <c r="E31" s="2" t="inlineStr">
        <is>
          <t>Ministry of Environment</t>
        </is>
      </c>
      <c r="F31" s="2" t="inlineStr">
        <is>
          <t>gov.uk</t>
        </is>
      </c>
      <c r="G31" s="2" t="inlineStr">
        <is>
          <t>New watchlist published to put a spotlight on waste</t>
        </is>
      </c>
      <c r="H31" s="5" t="inlineStr">
        <is>
          <t>https://www.gov.uk/government/news/new-watchlist-published-to-put-a-spotlight-on-waste</t>
        </is>
      </c>
      <c r="I31" s="2" t="inlineStr">
        <is>
          <t>Environment; Transparency</t>
        </is>
      </c>
      <c r="J31" s="2" t="n">
        <v>2</v>
      </c>
      <c r="K31" s="2" t="inlineStr">
        <is>
          <t>No</t>
        </is>
      </c>
      <c r="L31" s="2" t="inlineStr"/>
      <c r="M31" s="2" t="inlineStr">
        <is>
          <t>GOV.UK API</t>
        </is>
      </c>
      <c r="N31" s="2" t="n">
        <v>647</v>
      </c>
      <c r="O31" s="2" t="inlineStr"/>
      <c r="P31" s="2" t="inlineStr">
        <is>
          <t>Environment; Transparency</t>
        </is>
      </c>
      <c r="Q31" s="2" t="inlineStr"/>
      <c r="R31" s="2" t="inlineStr"/>
    </row>
    <row r="32">
      <c r="A32" s="2" t="inlineStr">
        <is>
          <t>2026-05</t>
        </is>
      </c>
      <c r="B32" s="4" t="n">
        <v>46168</v>
      </c>
      <c r="C32" s="2" t="inlineStr">
        <is>
          <t>Post-withdrawal</t>
        </is>
      </c>
      <c r="D32" s="2" t="inlineStr">
        <is>
          <t>UK</t>
        </is>
      </c>
      <c r="E32" s="2" t="inlineStr">
        <is>
          <t>Ministry of Environment</t>
        </is>
      </c>
      <c r="F32" s="2" t="inlineStr">
        <is>
          <t>gov.uk</t>
        </is>
      </c>
      <c r="G32" s="2" t="inlineStr">
        <is>
          <t>Lancashire recycling company sentenced for illegal waste exports</t>
        </is>
      </c>
      <c r="H32" s="5" t="inlineStr">
        <is>
          <t>https://www.gov.uk/government/news/lancashire-recycling-company-sentenced-for-illegal-waste-exports</t>
        </is>
      </c>
      <c r="I32" s="2" t="inlineStr">
        <is>
          <t>Environment; green</t>
        </is>
      </c>
      <c r="J32" s="2" t="n">
        <v>2</v>
      </c>
      <c r="K32" s="2" t="inlineStr">
        <is>
          <t>No</t>
        </is>
      </c>
      <c r="L32" s="2" t="inlineStr"/>
      <c r="M32" s="2" t="inlineStr">
        <is>
          <t>GOV.UK API</t>
        </is>
      </c>
      <c r="N32" s="2" t="n">
        <v>899</v>
      </c>
      <c r="O32" s="2" t="inlineStr"/>
      <c r="P32" s="2" t="inlineStr">
        <is>
          <t>Environment; green</t>
        </is>
      </c>
      <c r="Q32" s="2" t="inlineStr"/>
      <c r="R32" s="2" t="inlineStr"/>
    </row>
    <row r="33">
      <c r="A33" s="2" t="inlineStr">
        <is>
          <t>2026-05</t>
        </is>
      </c>
      <c r="B33" s="4" t="n">
        <v>46169</v>
      </c>
      <c r="C33" s="2" t="inlineStr">
        <is>
          <t>Post-withdrawal</t>
        </is>
      </c>
      <c r="D33" s="2" t="inlineStr">
        <is>
          <t>Canada</t>
        </is>
      </c>
      <c r="E33" s="2" t="inlineStr">
        <is>
          <t>Ministry of Environment</t>
        </is>
      </c>
      <c r="F33" s="2" t="inlineStr">
        <is>
          <t>canada.ca</t>
        </is>
      </c>
      <c r="G33" s="2" t="inlineStr">
        <is>
          <t>Environment and Climate Change Canada launches AI weather model to strengthen forecasting for severe weather</t>
        </is>
      </c>
      <c r="H33" s="5" t="inlineStr">
        <is>
          <t>https://www.canada.ca/en/environment-climate-change/news/2026/05/environment-and-climate-change-canada-launches-ai-weather-model-to-strengthen-forecasting-for-severe-weather.html</t>
        </is>
      </c>
      <c r="I33" s="2" t="inlineStr">
        <is>
          <t>Climate; Climate Change; Environment; Temperature; energy</t>
        </is>
      </c>
      <c r="J33" s="2" t="n">
        <v>5</v>
      </c>
      <c r="K33" s="2" t="inlineStr">
        <is>
          <t>Yes</t>
        </is>
      </c>
      <c r="L33" s="2" t="inlineStr"/>
      <c r="M33" s="2" t="inlineStr">
        <is>
          <t>page metadata</t>
        </is>
      </c>
      <c r="N33" s="2" t="n">
        <v>602</v>
      </c>
      <c r="O33" s="2" t="inlineStr"/>
      <c r="P33" s="2" t="inlineStr">
        <is>
          <t>Climate; Climate Change; Environment; Temperature; energy</t>
        </is>
      </c>
      <c r="Q33" s="2" t="inlineStr"/>
      <c r="R33" s="2" t="inlineStr"/>
    </row>
    <row r="34">
      <c r="A34" s="2" t="inlineStr">
        <is>
          <t>2026-05</t>
        </is>
      </c>
      <c r="B34" s="4" t="n">
        <v>46170</v>
      </c>
      <c r="C34" s="2" t="inlineStr">
        <is>
          <t>Post-withdrawal</t>
        </is>
      </c>
      <c r="D34" s="2" t="inlineStr">
        <is>
          <t>UK</t>
        </is>
      </c>
      <c r="E34" s="2" t="inlineStr">
        <is>
          <t>Ministry of Environment</t>
        </is>
      </c>
      <c r="F34" s="2" t="inlineStr">
        <is>
          <t>gov.uk</t>
        </is>
      </c>
      <c r="G34" s="2" t="inlineStr">
        <is>
          <t>Consultation opens on Drax Power permit draft decision</t>
        </is>
      </c>
      <c r="H34" s="5" t="inlineStr">
        <is>
          <t>https://www.gov.uk/government/news/consultation-opens-on-drax-power-permit-draft-decision</t>
        </is>
      </c>
      <c r="I34" s="2" t="inlineStr">
        <is>
          <t>Environment; carbon; emissions</t>
        </is>
      </c>
      <c r="J34" s="2" t="n">
        <v>3</v>
      </c>
      <c r="K34" s="2" t="inlineStr">
        <is>
          <t>Yes</t>
        </is>
      </c>
      <c r="L34" s="2" t="inlineStr"/>
      <c r="M34" s="2" t="inlineStr">
        <is>
          <t>GOV.UK API</t>
        </is>
      </c>
      <c r="N34" s="2" t="n">
        <v>599</v>
      </c>
      <c r="O34" s="2" t="inlineStr"/>
      <c r="P34" s="2" t="inlineStr">
        <is>
          <t>Environment; carbon; emissions</t>
        </is>
      </c>
      <c r="Q34" s="2" t="inlineStr"/>
      <c r="R34" s="2" t="inlineStr"/>
    </row>
    <row r="35">
      <c r="A35" s="2" t="inlineStr">
        <is>
          <t>2026-05</t>
        </is>
      </c>
      <c r="B35" s="4" t="n">
        <v>46171</v>
      </c>
      <c r="C35" s="2" t="inlineStr">
        <is>
          <t>Post-withdrawal</t>
        </is>
      </c>
      <c r="D35" s="2" t="inlineStr">
        <is>
          <t>China</t>
        </is>
      </c>
      <c r="E35" s="2" t="inlineStr">
        <is>
          <t>Govt press release</t>
        </is>
      </c>
      <c r="F35" s="2" t="inlineStr">
        <is>
          <t>english.www.gov.cn</t>
        </is>
      </c>
      <c r="G35" s="2" t="inlineStr">
        <is>
          <t>World Intelligence Expo highlights AI-industry integration, global collaboration</t>
        </is>
      </c>
      <c r="H35" s="5" t="inlineStr">
        <is>
          <t>https://english.www.gov.cn/news/202605/29/content_WS6a18dbeac6d00ca5f9a0b502.html</t>
        </is>
      </c>
      <c r="I35" s="2" t="inlineStr">
        <is>
          <t>Environment</t>
        </is>
      </c>
      <c r="J35" s="2" t="n">
        <v>1</v>
      </c>
      <c r="K35" s="2" t="inlineStr">
        <is>
          <t>No</t>
        </is>
      </c>
      <c r="L35" s="2" t="inlineStr"/>
      <c r="M35" s="2" t="inlineStr">
        <is>
          <t>url</t>
        </is>
      </c>
      <c r="N35" s="2" t="n">
        <v>528</v>
      </c>
      <c r="O35" s="2" t="inlineStr"/>
      <c r="P35" s="2" t="inlineStr">
        <is>
          <t>Environment</t>
        </is>
      </c>
      <c r="Q35" s="2" t="inlineStr"/>
      <c r="R35" s="2" t="inlineStr"/>
    </row>
    <row r="36">
      <c r="A36" s="2" t="inlineStr">
        <is>
          <t>2026-05</t>
        </is>
      </c>
      <c r="B36" s="4" t="n">
        <v>46173</v>
      </c>
      <c r="C36" s="2" t="inlineStr">
        <is>
          <t>Post-withdrawal</t>
        </is>
      </c>
      <c r="D36" s="2" t="inlineStr">
        <is>
          <t>China</t>
        </is>
      </c>
      <c r="E36" s="2" t="inlineStr">
        <is>
          <t>Govt press release</t>
        </is>
      </c>
      <c r="F36" s="2" t="inlineStr">
        <is>
          <t>english.www.gov.cn</t>
        </is>
      </c>
      <c r="G36" s="2" t="inlineStr">
        <is>
          <t>Canada, China vow to strengthen bilateral ties, uphold multilateralism</t>
        </is>
      </c>
      <c r="H36" s="5" t="inlineStr">
        <is>
          <t>https://english.www.gov.cn/news/202605/31/content_WS6a1b926fc6d00ca5f9a0b580.html</t>
        </is>
      </c>
      <c r="I36" s="2" t="inlineStr">
        <is>
          <t>energy</t>
        </is>
      </c>
      <c r="J36" s="2" t="n">
        <v>1</v>
      </c>
      <c r="K36" s="2" t="inlineStr">
        <is>
          <t>No</t>
        </is>
      </c>
      <c r="L36" s="2" t="inlineStr"/>
      <c r="M36" s="2" t="inlineStr">
        <is>
          <t>url</t>
        </is>
      </c>
      <c r="N36" s="2" t="n">
        <v>207</v>
      </c>
      <c r="O36" s="2" t="inlineStr"/>
      <c r="P36" s="2" t="inlineStr">
        <is>
          <t>energy</t>
        </is>
      </c>
      <c r="Q36" s="2" t="inlineStr"/>
      <c r="R36" s="2" t="inlineStr"/>
    </row>
    <row r="37">
      <c r="A37" s="2" t="inlineStr">
        <is>
          <t>2026-05</t>
        </is>
      </c>
      <c r="B37" s="4" t="n">
        <v>46173</v>
      </c>
      <c r="C37" s="2" t="inlineStr">
        <is>
          <t>Post-withdrawal</t>
        </is>
      </c>
      <c r="D37" s="2" t="inlineStr">
        <is>
          <t>China</t>
        </is>
      </c>
      <c r="E37" s="2" t="inlineStr">
        <is>
          <t>Govt press release</t>
        </is>
      </c>
      <c r="F37" s="2" t="inlineStr">
        <is>
          <t>english.www.gov.cn</t>
        </is>
      </c>
      <c r="G37" s="2" t="inlineStr">
        <is>
          <t>Xi's article on developing future industries to be published</t>
        </is>
      </c>
      <c r="H37" s="5" t="inlineStr">
        <is>
          <t>https://english.www.gov.cn/news/202605/31/content_WS6a1bf75ac6d00ca5f9a0b58c.html</t>
        </is>
      </c>
      <c r="I37" s="2" t="inlineStr">
        <is>
          <t>Environment</t>
        </is>
      </c>
      <c r="J37" s="2" t="n">
        <v>1</v>
      </c>
      <c r="K37" s="2" t="inlineStr">
        <is>
          <t>No</t>
        </is>
      </c>
      <c r="L37" s="2" t="inlineStr"/>
      <c r="M37" s="2" t="inlineStr">
        <is>
          <t>url</t>
        </is>
      </c>
      <c r="N37" s="2" t="n">
        <v>301</v>
      </c>
      <c r="O37" s="2" t="inlineStr"/>
      <c r="P37" s="2" t="inlineStr">
        <is>
          <t>Environment</t>
        </is>
      </c>
      <c r="Q37" s="2" t="inlineStr"/>
      <c r="R37" s="2" t="inlineStr"/>
    </row>
  </sheetData>
  <autoFilter ref="A1:R37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55" customWidth="1" min="3" max="3"/>
    <col width="11" customWidth="1" min="4" max="4"/>
    <col width="9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40" customWidth="1" min="14" max="14"/>
    <col width="60" customWidth="1" min="15" max="15"/>
  </cols>
  <sheetData>
    <row r="1">
      <c r="A1" s="1" t="inlineStr">
        <is>
          <t>Country</t>
        </is>
      </c>
      <c r="B1" s="1" t="inlineStr">
        <is>
          <t>Source Type</t>
        </is>
      </c>
      <c r="C1" s="1" t="inlineStr">
        <is>
          <t>Url</t>
        </is>
      </c>
      <c r="D1" s="1" t="inlineStr">
        <is>
          <t>Strategy</t>
        </is>
      </c>
      <c r="E1" s="1" t="inlineStr">
        <is>
          <t>Enabled</t>
        </is>
      </c>
      <c r="F1" s="1" t="inlineStr">
        <is>
          <t>Candidates</t>
        </is>
      </c>
      <c r="G1" s="1" t="inlineStr">
        <is>
          <t>Fetched Articles</t>
        </is>
      </c>
      <c r="H1" s="1" t="inlineStr">
        <is>
          <t>Kept</t>
        </is>
      </c>
      <c r="I1" s="1" t="inlineStr">
        <is>
          <t>Skipped Out Of Range</t>
        </is>
      </c>
      <c r="J1" s="1" t="inlineStr">
        <is>
          <t>Skipped Title Prefilter</t>
        </is>
      </c>
      <c r="K1" s="1" t="inlineStr">
        <is>
          <t>Dropped Out Of Range</t>
        </is>
      </c>
      <c r="L1" s="1" t="inlineStr">
        <is>
          <t>Dropped No Keywords</t>
        </is>
      </c>
      <c r="M1" s="1" t="inlineStr">
        <is>
          <t>Fetch Failed</t>
        </is>
      </c>
      <c r="N1" s="1" t="inlineStr">
        <is>
          <t>Error Msg</t>
        </is>
      </c>
      <c r="O1" s="1" t="inlineStr">
        <is>
          <t>Notes</t>
        </is>
      </c>
    </row>
    <row r="2">
      <c r="A2" s="2" t="inlineStr">
        <is>
          <t>Canada</t>
        </is>
      </c>
      <c r="B2" s="2" t="inlineStr">
        <is>
          <t>Govt press release</t>
        </is>
      </c>
      <c r="C2" s="2" t="inlineStr">
        <is>
          <t>https://www.pm.gc.ca/en/news/releases</t>
        </is>
      </c>
      <c r="D2" s="2" t="inlineStr">
        <is>
          <t>listing</t>
        </is>
      </c>
      <c r="E2" s="2" t="b">
        <v>1</v>
      </c>
      <c r="F2" s="2" t="n">
        <v>1</v>
      </c>
      <c r="G2" s="2" t="inlineStr"/>
      <c r="H2" s="2" t="inlineStr"/>
      <c r="I2" s="2" t="n">
        <v>1</v>
      </c>
      <c r="J2" s="2" t="inlineStr"/>
      <c r="K2" s="2" t="inlineStr"/>
      <c r="L2" s="2" t="inlineStr"/>
      <c r="M2" s="2" t="inlineStr"/>
      <c r="N2" s="2" t="inlineStr"/>
      <c r="O2" s="2" t="inlineStr">
        <is>
          <t>Drupal ?page=N (verify)</t>
        </is>
      </c>
    </row>
    <row r="3">
      <c r="A3" s="2" t="inlineStr">
        <is>
          <t>Canada</t>
        </is>
      </c>
      <c r="B3" s="2" t="inlineStr">
        <is>
          <t>Ministry of Environment</t>
        </is>
      </c>
      <c r="C3" s="2" t="inlineStr">
        <is>
          <t>https://www.canada.ca/en/news/advanced-news-search/news-results.html?_=1670427638856&amp;dprtmnt=departmentoftheenvironment&amp;start=&amp;end=</t>
        </is>
      </c>
      <c r="D3" s="2" t="inlineStr">
        <is>
          <t>listing</t>
        </is>
      </c>
      <c r="E3" s="2" t="b">
        <v>1</v>
      </c>
      <c r="F3" s="2" t="n">
        <v>21</v>
      </c>
      <c r="G3" s="2" t="n">
        <v>20</v>
      </c>
      <c r="H3" s="2" t="n">
        <v>20</v>
      </c>
      <c r="I3" s="2" t="inlineStr"/>
      <c r="J3" s="2" t="inlineStr"/>
      <c r="K3" s="2" t="inlineStr"/>
      <c r="L3" s="2" t="inlineStr"/>
      <c r="M3" s="2" t="inlineStr"/>
      <c r="N3" s="2" t="inlineStr"/>
      <c r="O3" s="2" t="inlineStr">
        <is>
          <t>date-filtered search, idx offset (verify)</t>
        </is>
      </c>
    </row>
    <row r="4">
      <c r="A4" s="2" t="inlineStr">
        <is>
          <t>China</t>
        </is>
      </c>
      <c r="B4" s="2" t="inlineStr">
        <is>
          <t>Govt press release</t>
        </is>
      </c>
      <c r="C4" s="2" t="inlineStr">
        <is>
          <t>https://english.www.gov.cn/news/</t>
        </is>
      </c>
      <c r="D4" s="2" t="inlineStr">
        <is>
          <t>auto</t>
        </is>
      </c>
      <c r="E4" s="2" t="b">
        <v>1</v>
      </c>
      <c r="F4" s="2" t="n">
        <v>960</v>
      </c>
      <c r="G4" s="2" t="n">
        <v>20</v>
      </c>
      <c r="H4" s="2" t="n">
        <v>3</v>
      </c>
      <c r="I4" s="2" t="n">
        <v>939</v>
      </c>
      <c r="J4" s="2" t="inlineStr"/>
      <c r="K4" s="2" t="inlineStr"/>
      <c r="L4" s="2" t="n">
        <v>17</v>
      </c>
      <c r="M4" s="2" t="inlineStr"/>
      <c r="N4" s="2" t="inlineStr"/>
      <c r="O4" s="2" t="inlineStr">
        <is>
          <t>URL carries the date (verify)</t>
        </is>
      </c>
    </row>
    <row r="5">
      <c r="A5" s="2" t="inlineStr">
        <is>
          <t>China</t>
        </is>
      </c>
      <c r="B5" s="2" t="inlineStr">
        <is>
          <t>Ministry of Environment</t>
        </is>
      </c>
      <c r="C5" s="2" t="inlineStr">
        <is>
          <t>https://english.mee.gov.cn/News_service/news_release/</t>
        </is>
      </c>
      <c r="D5" s="2" t="inlineStr">
        <is>
          <t>listing</t>
        </is>
      </c>
      <c r="E5" s="2" t="b">
        <v>1</v>
      </c>
      <c r="F5" s="2" t="n">
        <v>32</v>
      </c>
      <c r="G5" s="2" t="inlineStr"/>
      <c r="H5" s="2" t="inlineStr"/>
      <c r="I5" s="2" t="n">
        <v>32</v>
      </c>
      <c r="J5" s="2" t="inlineStr"/>
      <c r="K5" s="2" t="inlineStr"/>
      <c r="L5" s="2" t="inlineStr"/>
      <c r="M5" s="2" t="inlineStr"/>
      <c r="N5" s="2" t="inlineStr"/>
      <c r="O5" s="2" t="inlineStr">
        <is>
          <t>index_N.shtml pagination (verify)</t>
        </is>
      </c>
    </row>
    <row r="6">
      <c r="A6" s="2" t="inlineStr">
        <is>
          <t>EU</t>
        </is>
      </c>
      <c r="B6" s="2" t="inlineStr">
        <is>
          <t>Govt press release</t>
        </is>
      </c>
      <c r="C6" s="2" t="inlineStr">
        <is>
          <t>https://ec.europa.eu/commission/presscorner/home/en</t>
        </is>
      </c>
      <c r="D6" s="2" t="inlineStr">
        <is>
          <t>auto</t>
        </is>
      </c>
      <c r="E6" s="2" t="b">
        <v>1</v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JavaScript app: needs --js (Playwright). Verify.</t>
        </is>
      </c>
    </row>
    <row r="7">
      <c r="A7" s="2" t="inlineStr">
        <is>
          <t>EU</t>
        </is>
      </c>
      <c r="B7" s="2" t="inlineStr">
        <is>
          <t>Ministry of Environment</t>
        </is>
      </c>
      <c r="C7" s="2" t="inlineStr">
        <is>
          <t>https://environment.ec.europa.eu/news_en</t>
        </is>
      </c>
      <c r="D7" s="2" t="inlineStr">
        <is>
          <t>listing</t>
        </is>
      </c>
      <c r="E7" s="2" t="b">
        <v>1</v>
      </c>
      <c r="F7" s="2" t="n">
        <v>34</v>
      </c>
      <c r="G7" s="2" t="inlineStr"/>
      <c r="H7" s="2" t="inlineStr"/>
      <c r="I7" s="2" t="n">
        <v>34</v>
      </c>
      <c r="J7" s="2" t="inlineStr"/>
      <c r="K7" s="2" t="inlineStr"/>
      <c r="L7" s="2" t="inlineStr"/>
      <c r="M7" s="2" t="inlineStr"/>
      <c r="N7" s="2" t="inlineStr"/>
      <c r="O7" s="2" t="inlineStr">
        <is>
          <t>Drupal ?page=N (verify)</t>
        </is>
      </c>
    </row>
    <row r="8">
      <c r="A8" s="2" t="inlineStr">
        <is>
          <t>Hong Kong</t>
        </is>
      </c>
      <c r="B8" s="2" t="inlineStr">
        <is>
          <t>Govt press release</t>
        </is>
      </c>
      <c r="C8" s="2" t="inlineStr">
        <is>
          <t>https://www.cmab.gov.hk/en/press/press.htm</t>
        </is>
      </c>
      <c r="D8" s="2" t="inlineStr">
        <is>
          <t>auto</t>
        </is>
      </c>
      <c r="E8" s="2" t="b">
        <v>1</v>
      </c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</row>
    <row r="9">
      <c r="A9" s="2" t="inlineStr">
        <is>
          <t>Hong Kong</t>
        </is>
      </c>
      <c r="B9" s="2" t="inlineStr">
        <is>
          <t>Govt press release</t>
        </is>
      </c>
      <c r="C9" s="2" t="inlineStr">
        <is>
          <t>https://www.info.gov.hk/gia/general/202607/27.htm</t>
        </is>
      </c>
      <c r="D9" s="2" t="inlineStr">
        <is>
          <t>hk_daily</t>
        </is>
      </c>
      <c r="E9" s="2" t="b">
        <v>1</v>
      </c>
      <c r="F9" s="2" t="n">
        <v>1545</v>
      </c>
      <c r="G9" s="2" t="n">
        <v>20</v>
      </c>
      <c r="H9" s="2" t="n">
        <v>20</v>
      </c>
      <c r="I9" s="2" t="inlineStr"/>
      <c r="J9" s="2" t="n">
        <v>1524</v>
      </c>
      <c r="K9" s="2" t="inlineStr"/>
      <c r="L9" s="2" t="inlineStr"/>
      <c r="M9" s="2" t="inlineStr"/>
      <c r="N9" s="2" t="inlineStr"/>
      <c r="O9" s="2" t="inlineStr">
        <is>
          <t>Daily index pages; ~100 releases/day, so only keyword-matching titles are fetched.</t>
        </is>
      </c>
    </row>
    <row r="10">
      <c r="A10" s="2" t="inlineStr">
        <is>
          <t>Hong Kong</t>
        </is>
      </c>
      <c r="B10" s="2" t="inlineStr">
        <is>
          <t>Ministry of Environment</t>
        </is>
      </c>
      <c r="C10" s="2" t="inlineStr">
        <is>
          <t>https://www.eeb.gov.hk/en/news_events/press_releases/index.html</t>
        </is>
      </c>
      <c r="D10" s="2" t="inlineStr">
        <is>
          <t>auto</t>
        </is>
      </c>
      <c r="E10" s="2" t="b">
        <v>1</v>
      </c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</row>
    <row r="11">
      <c r="A11" s="2" t="inlineStr">
        <is>
          <t>Hong Kong</t>
        </is>
      </c>
      <c r="B11" s="2" t="inlineStr">
        <is>
          <t>Ministry of Environment</t>
        </is>
      </c>
      <c r="C11" s="2" t="inlineStr">
        <is>
          <t>https://www.epd.gov.hk/epd/english/news_events/press/press.html</t>
        </is>
      </c>
      <c r="D11" s="2" t="inlineStr">
        <is>
          <t>auto</t>
        </is>
      </c>
      <c r="E11" s="2" t="b">
        <v>1</v>
      </c>
      <c r="F11" s="2" t="n">
        <v>21</v>
      </c>
      <c r="G11" s="2" t="n">
        <v>20</v>
      </c>
      <c r="H11" s="2" t="inlineStr"/>
      <c r="I11" s="2" t="inlineStr"/>
      <c r="J11" s="2" t="inlineStr"/>
      <c r="K11" s="2" t="n">
        <v>20</v>
      </c>
      <c r="L11" s="2" t="inlineStr"/>
      <c r="M11" s="2" t="inlineStr"/>
      <c r="N11" s="2" t="inlineStr"/>
      <c r="O11" s="2" t="inlineStr"/>
    </row>
    <row r="12">
      <c r="A12" s="2" t="inlineStr">
        <is>
          <t>India</t>
        </is>
      </c>
      <c r="B12" s="2" t="inlineStr">
        <is>
          <t>Govt press release</t>
        </is>
      </c>
      <c r="C12" s="2" t="inlineStr">
        <is>
          <t>https://www.pib.gov.in/Allrel.aspx?reg=48&amp;lang=1</t>
        </is>
      </c>
      <c r="D12" s="2" t="inlineStr">
        <is>
          <t>auto</t>
        </is>
      </c>
      <c r="E12" s="2" t="b">
        <v>0</v>
      </c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>
        <is>
          <t>disabled</t>
        </is>
      </c>
      <c r="O12" s="2" t="inlineStr">
        <is>
          <t>ASP.NET postback forms; needs a custom handler. Disabled for now.</t>
        </is>
      </c>
    </row>
    <row r="13">
      <c r="A13" s="2" t="inlineStr">
        <is>
          <t>India</t>
        </is>
      </c>
      <c r="B13" s="2" t="inlineStr">
        <is>
          <t>Ministry of Environment</t>
        </is>
      </c>
      <c r="C13" s="2" t="inlineStr">
        <is>
          <t>https://www.pib.gov.in/newsite/pmreleases.aspx?mincode=30&amp;reg=48&amp;lang=2</t>
        </is>
      </c>
      <c r="D13" s="2" t="inlineStr">
        <is>
          <t>auto</t>
        </is>
      </c>
      <c r="E13" s="2" t="b">
        <v>0</v>
      </c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>
        <is>
          <t>disabled</t>
        </is>
      </c>
      <c r="O13" s="2" t="inlineStr">
        <is>
          <t>ASP.NET postback forms; needs a custom handler. Disabled for now.</t>
        </is>
      </c>
    </row>
    <row r="14">
      <c r="A14" s="2" t="inlineStr">
        <is>
          <t>India</t>
        </is>
      </c>
      <c r="B14" s="2" t="inlineStr">
        <is>
          <t>Ministry of Environment</t>
        </is>
      </c>
      <c r="C14" s="2" t="inlineStr">
        <is>
          <t>https://moef.gov.in/press_release/update</t>
        </is>
      </c>
      <c r="D14" s="2" t="inlineStr">
        <is>
          <t>auto</t>
        </is>
      </c>
      <c r="E14" s="2" t="b">
        <v>1</v>
      </c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</row>
    <row r="15">
      <c r="A15" s="2" t="inlineStr">
        <is>
          <t>New Zealand</t>
        </is>
      </c>
      <c r="B15" s="2" t="inlineStr">
        <is>
          <t>Govt press release</t>
        </is>
      </c>
      <c r="C15" s="2" t="inlineStr">
        <is>
          <t>https://www.dpmc.govt.nz/media-centre</t>
        </is>
      </c>
      <c r="D15" s="2" t="inlineStr">
        <is>
          <t>auto</t>
        </is>
      </c>
      <c r="E15" s="2" t="b">
        <v>1</v>
      </c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</row>
    <row r="16">
      <c r="A16" s="2" t="inlineStr">
        <is>
          <t>New Zealand</t>
        </is>
      </c>
      <c r="B16" s="2" t="inlineStr">
        <is>
          <t>Govt press release</t>
        </is>
      </c>
      <c r="C16" s="2" t="inlineStr">
        <is>
          <t>https://www.beehive.govt.nz/releases</t>
        </is>
      </c>
      <c r="D16" s="2" t="inlineStr">
        <is>
          <t>listing</t>
        </is>
      </c>
      <c r="E16" s="2" t="b">
        <v>1</v>
      </c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>
        <is>
          <t>Drupal ?page=N (verify)</t>
        </is>
      </c>
    </row>
    <row r="17">
      <c r="A17" s="2" t="inlineStr">
        <is>
          <t>New Zealand</t>
        </is>
      </c>
      <c r="B17" s="2" t="inlineStr">
        <is>
          <t>Ministry of Environment</t>
        </is>
      </c>
      <c r="C17" s="2" t="inlineStr">
        <is>
          <t>https://environment.govt.nz/news/</t>
        </is>
      </c>
      <c r="D17" s="2" t="inlineStr">
        <is>
          <t>auto</t>
        </is>
      </c>
      <c r="E17" s="2" t="b">
        <v>1</v>
      </c>
      <c r="F17" s="2" t="n">
        <v>21</v>
      </c>
      <c r="G17" s="2" t="n">
        <v>20</v>
      </c>
      <c r="H17" s="2" t="n">
        <v>8</v>
      </c>
      <c r="I17" s="2" t="inlineStr"/>
      <c r="J17" s="2" t="inlineStr"/>
      <c r="K17" s="2" t="n">
        <v>10</v>
      </c>
      <c r="L17" s="2" t="n">
        <v>2</v>
      </c>
      <c r="M17" s="2" t="inlineStr"/>
      <c r="N17" s="2" t="inlineStr"/>
      <c r="O17" s="2" t="inlineStr"/>
    </row>
    <row r="18">
      <c r="A18" s="2" t="inlineStr">
        <is>
          <t>Singapore</t>
        </is>
      </c>
      <c r="B18" s="2" t="inlineStr">
        <is>
          <t>Govt press release</t>
        </is>
      </c>
      <c r="C18" s="2" t="inlineStr">
        <is>
          <t>https://www.sgpc.gov.sg/</t>
        </is>
      </c>
      <c r="D18" s="2" t="inlineStr">
        <is>
          <t>auto</t>
        </is>
      </c>
      <c r="E18" s="2" t="b">
        <v>1</v>
      </c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>
        <is>
          <t>JavaScript-rendered (verify)</t>
        </is>
      </c>
    </row>
    <row r="19">
      <c r="A19" s="2" t="inlineStr">
        <is>
          <t>Singapore</t>
        </is>
      </c>
      <c r="B19" s="2" t="inlineStr">
        <is>
          <t>Ministry of Environment</t>
        </is>
      </c>
      <c r="C19" s="2" t="inlineStr">
        <is>
          <t>https://www.mse.gov.sg/latest-news/</t>
        </is>
      </c>
      <c r="D19" s="2" t="inlineStr">
        <is>
          <t>auto</t>
        </is>
      </c>
      <c r="E19" s="2" t="b">
        <v>1</v>
      </c>
      <c r="F19" s="2" t="n">
        <v>10</v>
      </c>
      <c r="G19" s="2" t="n">
        <v>10</v>
      </c>
      <c r="H19" s="2" t="inlineStr"/>
      <c r="I19" s="2" t="inlineStr"/>
      <c r="J19" s="2" t="inlineStr"/>
      <c r="K19" s="2" t="n">
        <v>10</v>
      </c>
      <c r="L19" s="2" t="inlineStr"/>
      <c r="M19" s="2" t="inlineStr"/>
      <c r="N19" s="2" t="inlineStr"/>
      <c r="O19" s="2" t="inlineStr"/>
    </row>
    <row r="20">
      <c r="A20" s="2" t="inlineStr">
        <is>
          <t>South Korea</t>
        </is>
      </c>
      <c r="B20" s="2" t="inlineStr">
        <is>
          <t>Govt press release</t>
        </is>
      </c>
      <c r="C20" s="2" t="inlineStr">
        <is>
          <t>https://www.korea.net/Government/Briefing-Room/Press-Releases</t>
        </is>
      </c>
      <c r="D20" s="2" t="inlineStr">
        <is>
          <t>auto</t>
        </is>
      </c>
      <c r="E20" s="2" t="b">
        <v>1</v>
      </c>
      <c r="F20" s="2" t="n">
        <v>21</v>
      </c>
      <c r="G20" s="2" t="n">
        <v>20</v>
      </c>
      <c r="H20" s="2" t="inlineStr"/>
      <c r="I20" s="2" t="inlineStr"/>
      <c r="J20" s="2" t="inlineStr"/>
      <c r="K20" s="2" t="n">
        <v>19</v>
      </c>
      <c r="L20" s="2" t="n">
        <v>1</v>
      </c>
      <c r="M20" s="2" t="inlineStr"/>
      <c r="N20" s="2" t="inlineStr"/>
      <c r="O20" s="2" t="inlineStr">
        <is>
          <t>verify pagination with --probe</t>
        </is>
      </c>
    </row>
    <row r="21">
      <c r="A21" s="2" t="inlineStr">
        <is>
          <t>South Korea</t>
        </is>
      </c>
      <c r="B21" s="2" t="inlineStr">
        <is>
          <t>Ministry of Environment</t>
        </is>
      </c>
      <c r="C21" s="2" t="inlineStr">
        <is>
          <t>https://mcee.go.kr/eng/web/index.do?menuId=461</t>
        </is>
      </c>
      <c r="D21" s="2" t="inlineStr">
        <is>
          <t>auto</t>
        </is>
      </c>
      <c r="E21" s="2" t="b">
        <v>1</v>
      </c>
      <c r="F21" s="2" t="n">
        <v>10</v>
      </c>
      <c r="G21" s="2" t="inlineStr"/>
      <c r="H21" s="2" t="inlineStr"/>
      <c r="I21" s="2" t="n">
        <v>10</v>
      </c>
      <c r="J21" s="2" t="inlineStr"/>
      <c r="K21" s="2" t="inlineStr"/>
      <c r="L21" s="2" t="inlineStr"/>
      <c r="M21" s="2" t="inlineStr"/>
      <c r="N21" s="2" t="inlineStr"/>
      <c r="O21" s="2" t="inlineStr">
        <is>
          <t>Korean boards often open posts via JS onclick; may need a custom handler</t>
        </is>
      </c>
    </row>
    <row r="22">
      <c r="A22" s="2" t="inlineStr">
        <is>
          <t>UK</t>
        </is>
      </c>
      <c r="B22" s="2" t="inlineStr">
        <is>
          <t>Ministry of Environment</t>
        </is>
      </c>
      <c r="C22" s="2" t="inlineStr">
        <is>
          <t>https://www.gov.uk/search/news-and-communications?organisations[]=environment-agency&amp;parent=environment-agency</t>
        </is>
      </c>
      <c r="D22" s="2" t="inlineStr">
        <is>
          <t>govuk_api</t>
        </is>
      </c>
      <c r="E22" s="2" t="b">
        <v>1</v>
      </c>
      <c r="F22" s="2" t="n">
        <v>21</v>
      </c>
      <c r="G22" s="2" t="n">
        <v>20</v>
      </c>
      <c r="H22" s="2" t="n">
        <v>20</v>
      </c>
      <c r="I22" s="2" t="inlineStr"/>
      <c r="J22" s="2" t="inlineStr"/>
      <c r="K22" s="2" t="inlineStr"/>
      <c r="L22" s="2" t="inlineStr"/>
      <c r="M22" s="2" t="inlineStr"/>
      <c r="N22" s="2" t="inlineStr"/>
      <c r="O22" s="2" t="inlineStr">
        <is>
          <t>GOV.UK Search API. Any gov.uk search URL with organisations[]=... works.</t>
        </is>
      </c>
    </row>
    <row r="23">
      <c r="A23" s="2" t="inlineStr">
        <is>
          <t>USA</t>
        </is>
      </c>
      <c r="B23" s="2" t="inlineStr">
        <is>
          <t>Govt press release</t>
        </is>
      </c>
      <c r="C23" s="2" t="inlineStr">
        <is>
          <t>https://www.state.gov/press-releases/</t>
        </is>
      </c>
      <c r="D23" s="2" t="inlineStr">
        <is>
          <t>auto</t>
        </is>
      </c>
      <c r="E23" s="2" t="b">
        <v>1</v>
      </c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>
        <is>
          <t>Pre-Jan-2025 releases were moved to an archive domain; see EXTRA_SOURCES.</t>
        </is>
      </c>
    </row>
    <row r="24">
      <c r="A24" s="2" t="inlineStr">
        <is>
          <t>USA</t>
        </is>
      </c>
      <c r="B24" s="2" t="inlineStr">
        <is>
          <t>Govt press release</t>
        </is>
      </c>
      <c r="C24" s="2" t="inlineStr">
        <is>
          <t>https://2021-2025.state.gov/press-releases/</t>
        </is>
      </c>
      <c r="D24" s="2" t="inlineStr">
        <is>
          <t>auto</t>
        </is>
      </c>
      <c r="E24" s="2" t="b">
        <v>1</v>
      </c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>
        <is>
          <t>Archive of State Dept pages from before 20 Jan 2025 (verify URL).</t>
        </is>
      </c>
    </row>
    <row r="25">
      <c r="A25" s="2" t="inlineStr">
        <is>
          <t>USA</t>
        </is>
      </c>
      <c r="B25" s="2" t="inlineStr">
        <is>
          <t>Ministry of Environment</t>
        </is>
      </c>
      <c r="C25" s="2" t="inlineStr">
        <is>
          <t>https://www.epa.gov/newsreleases/search</t>
        </is>
      </c>
      <c r="D25" s="2" t="inlineStr">
        <is>
          <t>listing</t>
        </is>
      </c>
      <c r="E25" s="2" t="b">
        <v>1</v>
      </c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>
        <is>
          <t>Drupal ?page=N (verify)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Item</t>
        </is>
      </c>
      <c r="B1" s="1" t="inlineStr">
        <is>
          <t>Detail</t>
        </is>
      </c>
    </row>
    <row r="2">
      <c r="A2" s="6" t="inlineStr">
        <is>
          <t>Run date</t>
        </is>
      </c>
      <c r="B2" s="6" t="inlineStr">
        <is>
          <t>2026-10-28</t>
        </is>
      </c>
    </row>
    <row r="3">
      <c r="A3" s="6" t="inlineStr">
        <is>
          <t>Date range</t>
        </is>
      </c>
      <c r="B3" s="6" t="inlineStr">
        <is>
          <t>2024-01-01 to 2026-05-31</t>
        </is>
      </c>
    </row>
    <row r="4">
      <c r="A4" s="6" t="inlineStr">
        <is>
          <t>Keyword file</t>
        </is>
      </c>
      <c r="B4" s="6" t="inlineStr">
        <is>
          <t>.</t>
        </is>
      </c>
    </row>
    <row r="5">
      <c r="A5" s="6" t="inlineStr">
        <is>
          <t>Periods (from comment NJ2)</t>
        </is>
      </c>
      <c r="B5" s="6" t="inlineStr">
        <is>
          <t>Pre-withdrawal: 2024-01-01 to 2025-01-01; Transition: 2025-01-01 to 2026-01-01; Post-withdrawal: 2026-01-01 to 2100-01-01</t>
        </is>
      </c>
    </row>
    <row r="6">
      <c r="A6" s="6" t="inlineStr">
        <is>
          <t>Keyword match</t>
        </is>
      </c>
      <c r="B6" s="6" t="inlineStr">
        <is>
          <t>Title + main text, word boundaries; acronyms case-sensitive; COP also matches COP28 etc.</t>
        </is>
      </c>
    </row>
    <row r="7">
      <c r="A7" s="6" t="inlineStr">
        <is>
          <t>Strong Match</t>
        </is>
      </c>
      <c r="B7" s="6" t="inlineStr">
        <is>
          <t>Any hit outside 'adjective' indicators, or 3+ distinct indicator words (overlaps like energy/renewable energy count once). Broad words alone (energy, green) bring noise; filter on this.</t>
        </is>
      </c>
    </row>
    <row r="8">
      <c r="A8" s="6" t="inlineStr">
        <is>
          <t>Date Source</t>
        </is>
      </c>
      <c r="B8" s="6" t="inlineStr">
        <is>
          <t>url &gt; GOV.UK API / HK daily index &gt; page metadata &gt; date printed on listing page.</t>
        </is>
      </c>
    </row>
    <row r="9">
      <c r="A9" s="6" t="inlineStr">
        <is>
          <t>Minister/Person Country</t>
        </is>
      </c>
      <c r="B9" s="6" t="inlineStr">
        <is>
          <t>Country of any minister/person codeword found (from Codewords col E).</t>
        </is>
      </c>
    </row>
    <row r="10">
      <c r="A10" s="6" t="inlineStr">
        <is>
          <t>Full text</t>
        </is>
      </c>
      <c r="B10" s="6" t="inlineStr">
        <is>
          <t>outputs/corpus.jsonl (one JSON object per article, with metadata).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2026-10-28T19:58:56Z</dcterms:created>
  <dcterms:modified xmlns:dcterms="http://purl.org/dc/terms/" xmlns:xsi="http://www.w3.org/2001/XMLSchema-instance" xsi:type="dcterms:W3CDTF">2026-10-28T19:58:56Z</dcterms:modified>
</cp:coreProperties>
</file>